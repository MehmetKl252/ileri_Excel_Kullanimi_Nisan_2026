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met\Downloads\"/>
    </mc:Choice>
  </mc:AlternateContent>
  <bookViews>
    <workbookView xWindow="0" yWindow="0" windowWidth="23040" windowHeight="9084" activeTab="1"/>
  </bookViews>
  <sheets>
    <sheet name="Sayfa1 (4)" sheetId="14" r:id="rId1"/>
    <sheet name="Sayfa3" sheetId="15" r:id="rId2"/>
    <sheet name="SORU" sheetId="13" r:id="rId3"/>
    <sheet name="Sayfa1 (3)" sheetId="12" r:id="rId4"/>
    <sheet name="ÇokEğerOrtalama" sheetId="10" r:id="rId5"/>
    <sheet name="Etopla" sheetId="9" r:id="rId6"/>
    <sheet name="Sayfa1 (2)" sheetId="8" r:id="rId7"/>
    <sheet name="Sayfa2" sheetId="7" r:id="rId8"/>
    <sheet name="Sayfa1" sheetId="6" r:id="rId9"/>
    <sheet name="PARÇAAL" sheetId="5" r:id="rId10"/>
    <sheet name="TABLO  (2)" sheetId="4" r:id="rId11"/>
    <sheet name="İNDİS - KAÇINCI" sheetId="2" r:id="rId12"/>
    <sheet name="TABLO " sheetId="3" r:id="rId13"/>
  </sheets>
  <definedNames>
    <definedName name="_xlnm._FilterDatabase" localSheetId="6" hidden="1">'Sayfa1 (2)'!$A$2:$H$22</definedName>
    <definedName name="_xlnm._FilterDatabase" localSheetId="12" hidden="1">'TABLO '!$A$1:$E$608</definedName>
    <definedName name="_xlnm._FilterDatabase" localSheetId="10" hidden="1">'TABLO  (2)'!$A$1:$E$608</definedName>
    <definedName name="denkim">Sayfa1!$B$5:$D$5</definedName>
    <definedName name="denkim2">Sayfa1!$B$9:$D$9</definedName>
    <definedName name="erda">Sayfa1!$B$7:$D$7</definedName>
    <definedName name="erda2">Sayfa1!$B$11:$D$11</definedName>
    <definedName name="evteks">Sayfa1!$B$6:$D$6</definedName>
    <definedName name="evteks2">Sayfa1!$B$10:$D$10</definedName>
    <definedName name="firma">Sayfa1!$B$4:$D$11</definedName>
    <definedName name="karsan">Sayfa1!$B$4:$D$4</definedName>
    <definedName name="karsan1">Sayfa1!$B$8:$D$8</definedName>
    <definedName name="mart">Sayfa1!$D$4:$D$11</definedName>
    <definedName name="ocak">Sayfa1!$B$4:$B$11</definedName>
    <definedName name="şubat">Sayfa1!$C$4:$C$11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8" l="1"/>
  <c r="A22" i="8"/>
  <c r="B21" i="8"/>
  <c r="A21" i="8"/>
  <c r="B20" i="8"/>
  <c r="A20" i="8"/>
  <c r="B19" i="8"/>
  <c r="A19" i="8"/>
  <c r="B18" i="8"/>
  <c r="A18" i="8"/>
  <c r="B17" i="8"/>
  <c r="A17" i="8"/>
  <c r="B16" i="8"/>
  <c r="A16" i="8"/>
  <c r="B15" i="8"/>
  <c r="A15" i="8"/>
  <c r="B14" i="8"/>
  <c r="A14" i="8"/>
  <c r="B13" i="8"/>
  <c r="A13" i="8"/>
  <c r="B12" i="8"/>
  <c r="A12" i="8"/>
  <c r="B11" i="8"/>
  <c r="A11" i="8"/>
  <c r="B10" i="8"/>
  <c r="A10" i="8"/>
  <c r="B9" i="8"/>
  <c r="A9" i="8"/>
  <c r="B8" i="8"/>
  <c r="A8" i="8"/>
  <c r="B7" i="8"/>
  <c r="A7" i="8"/>
  <c r="B6" i="8"/>
  <c r="A6" i="8"/>
  <c r="B5" i="8"/>
  <c r="A5" i="8"/>
  <c r="B4" i="8"/>
  <c r="A4" i="8"/>
  <c r="B3" i="8"/>
  <c r="A3" i="8"/>
  <c r="D11" i="6"/>
  <c r="C11" i="6"/>
  <c r="B11" i="6"/>
  <c r="D10" i="6"/>
  <c r="C10" i="6"/>
  <c r="B10" i="6"/>
  <c r="D9" i="6"/>
  <c r="C9" i="6"/>
  <c r="B9" i="6"/>
  <c r="D8" i="6"/>
  <c r="C8" i="6"/>
  <c r="B8" i="6"/>
  <c r="H2" i="5"/>
  <c r="B609" i="4"/>
  <c r="B609" i="3"/>
</calcChain>
</file>

<file path=xl/sharedStrings.xml><?xml version="1.0" encoding="utf-8"?>
<sst xmlns="http://schemas.openxmlformats.org/spreadsheetml/2006/main" count="3948" uniqueCount="1214">
  <si>
    <t>SIRA</t>
  </si>
  <si>
    <t>SATIŞ PERSONELİ</t>
  </si>
  <si>
    <t>MÜŞTERİ ADEDİ</t>
  </si>
  <si>
    <t>SATIŞ</t>
  </si>
  <si>
    <t>KÂR / ZARAR</t>
  </si>
  <si>
    <t>ORAN</t>
  </si>
  <si>
    <t>Arzu PEHLİVAN</t>
  </si>
  <si>
    <t>Özgür ERKAN</t>
  </si>
  <si>
    <t>Faruk ELÇİ</t>
  </si>
  <si>
    <t>Aslı BEYCAN</t>
  </si>
  <si>
    <t>Ayşe MAHMUTOĞULLARI</t>
  </si>
  <si>
    <t>Mustafa ERSOY</t>
  </si>
  <si>
    <t>Orhan GELİBOLU</t>
  </si>
  <si>
    <t>Samet ERCAN</t>
  </si>
  <si>
    <t>Erkan URGAN</t>
  </si>
  <si>
    <t>Davut SELVİ</t>
  </si>
  <si>
    <t>Esra YILDIZ</t>
  </si>
  <si>
    <t>Sinem TARHAN</t>
  </si>
  <si>
    <t>Ömer CAN</t>
  </si>
  <si>
    <t>Listemizde Hangi Personel 1799 TL Satış Yapmıştır?</t>
  </si>
  <si>
    <t>En Az Müşteri İle İlgilenen Personel Kimdir?</t>
  </si>
  <si>
    <t>Listede En Çok Satış  Yapan Personel Kimdir?</t>
  </si>
  <si>
    <t>EN ÇOK 2. SATIŞI KİM YAPMIŞ</t>
  </si>
  <si>
    <t>EN AZ KAR ETMİŞ</t>
  </si>
  <si>
    <t>CARI_KODU</t>
  </si>
  <si>
    <t>CARI_ISIM</t>
  </si>
  <si>
    <t>TARIH</t>
  </si>
  <si>
    <t>FATURA_NO</t>
  </si>
  <si>
    <t>TUTAR</t>
  </si>
  <si>
    <t>TK012219</t>
  </si>
  <si>
    <t>AS GIDA SAN.DIS TIC.</t>
  </si>
  <si>
    <t>MI0000000277027</t>
  </si>
  <si>
    <t>TK013943</t>
  </si>
  <si>
    <t>ACAR TARIM LTD.STI.</t>
  </si>
  <si>
    <t>MI0000000952786</t>
  </si>
  <si>
    <t>TK010893</t>
  </si>
  <si>
    <t>AHMETOGULLARI TIC.</t>
  </si>
  <si>
    <t>MI0000000199392</t>
  </si>
  <si>
    <t>FATURA SAYISI</t>
  </si>
  <si>
    <t>MI0000000199459</t>
  </si>
  <si>
    <t>TOPLAM TUTAR</t>
  </si>
  <si>
    <t>MI0000000199460</t>
  </si>
  <si>
    <t>MI0000000199559</t>
  </si>
  <si>
    <t>MI0000000199664</t>
  </si>
  <si>
    <t>TK013206</t>
  </si>
  <si>
    <t>AKEL GIDA TIC.LTD.STI.</t>
  </si>
  <si>
    <t>MI0000000134056</t>
  </si>
  <si>
    <t>MI0000000134068</t>
  </si>
  <si>
    <t>TK900117</t>
  </si>
  <si>
    <t>AKABE TIC.LTD.STI.</t>
  </si>
  <si>
    <t>MI0000000122519</t>
  </si>
  <si>
    <t>TK010446</t>
  </si>
  <si>
    <t>DAMLA  MARKET TIC.</t>
  </si>
  <si>
    <t>MH0000000123586</t>
  </si>
  <si>
    <t>MH0000000123691</t>
  </si>
  <si>
    <t>MI0000000004473</t>
  </si>
  <si>
    <t>MI0000000004474</t>
  </si>
  <si>
    <t>TK900099</t>
  </si>
  <si>
    <t>AKAYDIN  TIC.LTD.STI</t>
  </si>
  <si>
    <t>MI0000000123599</t>
  </si>
  <si>
    <t>MI0000000123600</t>
  </si>
  <si>
    <t>MI0000000123613</t>
  </si>
  <si>
    <t>MI0000000123614</t>
  </si>
  <si>
    <t>TK013364</t>
  </si>
  <si>
    <t>AKMAN  TIC.LTD.STI.</t>
  </si>
  <si>
    <t>MH0000000591636</t>
  </si>
  <si>
    <t>MI0000000591824</t>
  </si>
  <si>
    <t>MI0000000591825</t>
  </si>
  <si>
    <t>TK012253</t>
  </si>
  <si>
    <t>AKÇAY TIC.LTD.STI.</t>
  </si>
  <si>
    <t>MI0000000183814</t>
  </si>
  <si>
    <t>TK900116</t>
  </si>
  <si>
    <t>AKMAR TIC.LTD.STI.</t>
  </si>
  <si>
    <t>MI0000000404212</t>
  </si>
  <si>
    <t>T3400099</t>
  </si>
  <si>
    <t>AKSAN GIDA SANAYI TIC.A.S.</t>
  </si>
  <si>
    <t>AF0000000131844</t>
  </si>
  <si>
    <t>AF0000000131845</t>
  </si>
  <si>
    <t>AF0000000131847</t>
  </si>
  <si>
    <t>AF0000000131850</t>
  </si>
  <si>
    <t>AF0000000131859</t>
  </si>
  <si>
    <t>AF0000000134383</t>
  </si>
  <si>
    <t>AF0000000134457</t>
  </si>
  <si>
    <t>AF0000000134458</t>
  </si>
  <si>
    <t>AF0000000134459</t>
  </si>
  <si>
    <t>AF0000000134460</t>
  </si>
  <si>
    <t>AF0000000134461</t>
  </si>
  <si>
    <t>AF0000000134524</t>
  </si>
  <si>
    <t>AF0000000134535</t>
  </si>
  <si>
    <t>AF0000000134547</t>
  </si>
  <si>
    <t>AF0000000137028</t>
  </si>
  <si>
    <t>AF0000000137058</t>
  </si>
  <si>
    <t>AF0000000137066</t>
  </si>
  <si>
    <t>AF0000000137081</t>
  </si>
  <si>
    <t>AF0000000137091</t>
  </si>
  <si>
    <t>AF0000000137107</t>
  </si>
  <si>
    <t>AF0000000137112</t>
  </si>
  <si>
    <t>AF0000000137137</t>
  </si>
  <si>
    <t>AF0000000137157</t>
  </si>
  <si>
    <t>AF0000000137175</t>
  </si>
  <si>
    <t>AF0000000137184</t>
  </si>
  <si>
    <t>AF0000000137193</t>
  </si>
  <si>
    <t>AF0000000137201</t>
  </si>
  <si>
    <t>AF0000000137221</t>
  </si>
  <si>
    <t>AF0000000137223</t>
  </si>
  <si>
    <t>AF0000000772120</t>
  </si>
  <si>
    <t>AF0000000772127</t>
  </si>
  <si>
    <t>AF0000000772143</t>
  </si>
  <si>
    <t>MI0000000134384</t>
  </si>
  <si>
    <t>MI0000000134399</t>
  </si>
  <si>
    <t>MI0000000134400</t>
  </si>
  <si>
    <t>MI0000000137029</t>
  </si>
  <si>
    <t>MI0000000137042</t>
  </si>
  <si>
    <t>T0000001</t>
  </si>
  <si>
    <t>TEK.DAY.TÜK.MAL.</t>
  </si>
  <si>
    <t>AF0000000215597</t>
  </si>
  <si>
    <t>AF0000000215598</t>
  </si>
  <si>
    <t>AF0000000215600</t>
  </si>
  <si>
    <t>AF0000000215601</t>
  </si>
  <si>
    <t>AF0000000215602</t>
  </si>
  <si>
    <t>AF0000000215603</t>
  </si>
  <si>
    <t>AF0000000215604</t>
  </si>
  <si>
    <t>AF0000000215605</t>
  </si>
  <si>
    <t>AF0000000215630</t>
  </si>
  <si>
    <t>AF0000000215631</t>
  </si>
  <si>
    <t>AF0000000215640</t>
  </si>
  <si>
    <t>AF0000000215641</t>
  </si>
  <si>
    <t>AF0000000215642</t>
  </si>
  <si>
    <t>AF0000000215643</t>
  </si>
  <si>
    <t>AF0000000215644</t>
  </si>
  <si>
    <t>AF0000000215645</t>
  </si>
  <si>
    <t>AF0000000215672</t>
  </si>
  <si>
    <t>AF0000000215673</t>
  </si>
  <si>
    <t>AF0000000215691</t>
  </si>
  <si>
    <t>AF0000000215692</t>
  </si>
  <si>
    <t>AF0000000215744</t>
  </si>
  <si>
    <t>AF0000000215745</t>
  </si>
  <si>
    <t>AF0000000215746</t>
  </si>
  <si>
    <t>AF0000000215747</t>
  </si>
  <si>
    <t>AF0000000215748</t>
  </si>
  <si>
    <t>AF0000000215749</t>
  </si>
  <si>
    <t>AF0000000215773</t>
  </si>
  <si>
    <t>AF0000000215826</t>
  </si>
  <si>
    <t>AF0000000215827</t>
  </si>
  <si>
    <t>AF0000000215828</t>
  </si>
  <si>
    <t>AF0000000215829</t>
  </si>
  <si>
    <t>AF0000000215830</t>
  </si>
  <si>
    <t>AF0000000215831</t>
  </si>
  <si>
    <t>AF0000000215843</t>
  </si>
  <si>
    <t>AF0000000215855</t>
  </si>
  <si>
    <t>AF0000000215856</t>
  </si>
  <si>
    <t>AF0000000215857</t>
  </si>
  <si>
    <t>AF0000000215858</t>
  </si>
  <si>
    <t>AF0000000215859</t>
  </si>
  <si>
    <t>AF0000000215872</t>
  </si>
  <si>
    <t>AF0000000215891</t>
  </si>
  <si>
    <t>AF0000000215896</t>
  </si>
  <si>
    <t>TK012604</t>
  </si>
  <si>
    <t>AKYÜZ GIDA PAZ.</t>
  </si>
  <si>
    <t>MI0000000044677</t>
  </si>
  <si>
    <t>TK013694</t>
  </si>
  <si>
    <t xml:space="preserve">ALPARSLAN GIDA </t>
  </si>
  <si>
    <t>MI0000000034333</t>
  </si>
  <si>
    <t>TK010811</t>
  </si>
  <si>
    <t>BIZIM GIDA</t>
  </si>
  <si>
    <t>MI0000000000241</t>
  </si>
  <si>
    <t>TK010096</t>
  </si>
  <si>
    <t>ANADOLUSAN.VE TIC.LTD.STI.</t>
  </si>
  <si>
    <t>MI0000000670560</t>
  </si>
  <si>
    <t>MI0000000670976</t>
  </si>
  <si>
    <t>TK013351</t>
  </si>
  <si>
    <t>ERCIYES SUPERMARKET</t>
  </si>
  <si>
    <t>MH0000000086482</t>
  </si>
  <si>
    <t>MI0000000086475</t>
  </si>
  <si>
    <t>TK013901</t>
  </si>
  <si>
    <t>ARTEMIS TIC.LTD.STI.</t>
  </si>
  <si>
    <t>MI0000000033464</t>
  </si>
  <si>
    <t>TK014108</t>
  </si>
  <si>
    <t>ATAK SARKUTERI</t>
  </si>
  <si>
    <t>MI0000000033455</t>
  </si>
  <si>
    <t>TK010175</t>
  </si>
  <si>
    <t>AYDIN GIDA PAZ.SAN.TIC.LTD.STI.</t>
  </si>
  <si>
    <t>MI0000000035766</t>
  </si>
  <si>
    <t>TK013192</t>
  </si>
  <si>
    <t>BAKI GIDA</t>
  </si>
  <si>
    <t>MI0000000008846</t>
  </si>
  <si>
    <t>TK901518</t>
  </si>
  <si>
    <t>BAYRAMLI GIDA</t>
  </si>
  <si>
    <t>MI0000000037225</t>
  </si>
  <si>
    <t>MI0000000037243</t>
  </si>
  <si>
    <t>MI0000000037253</t>
  </si>
  <si>
    <t>TK010127</t>
  </si>
  <si>
    <t xml:space="preserve">BERTANOGULLARI GIDA </t>
  </si>
  <si>
    <t>MH0000000666054</t>
  </si>
  <si>
    <t>MI0000000666039</t>
  </si>
  <si>
    <t>TK014336</t>
  </si>
  <si>
    <t>BEBEK GERECLERI MAGAZACILIK SAN TIC.LTD.STI  (MERKEZ)</t>
  </si>
  <si>
    <t>MH0000000887700</t>
  </si>
  <si>
    <t>MH0000000887704</t>
  </si>
  <si>
    <t>MI0000000426581</t>
  </si>
  <si>
    <t>MI0000000426598</t>
  </si>
  <si>
    <t>MI0000000426599</t>
  </si>
  <si>
    <t>MI0000000426610</t>
  </si>
  <si>
    <t>TK900204</t>
  </si>
  <si>
    <t>BILGE GIDA   PAZ.SAN.TIC.LTD.STI.</t>
  </si>
  <si>
    <t>MI0000000090587</t>
  </si>
  <si>
    <t>TK010443</t>
  </si>
  <si>
    <t>SÜPERMARKET GIDA   PAZ.SAN.TIC.LTD.STI.</t>
  </si>
  <si>
    <t>MI0000000090601</t>
  </si>
  <si>
    <t>MI0000000090686</t>
  </si>
  <si>
    <t>TK012769</t>
  </si>
  <si>
    <t>BINTAS GIDA(MERKEZ)</t>
  </si>
  <si>
    <t>MI0000000990593</t>
  </si>
  <si>
    <t>MI0000000990636</t>
  </si>
  <si>
    <t>MI0000000990637</t>
  </si>
  <si>
    <t>TK901522</t>
  </si>
  <si>
    <t>KAFE.ISL.SAN.TIC.LTD.STI.(MERKEZ)</t>
  </si>
  <si>
    <t>MI0000000991441</t>
  </si>
  <si>
    <t>MI0000000991461</t>
  </si>
  <si>
    <t>MI0000000991463</t>
  </si>
  <si>
    <t>MI0000000991613</t>
  </si>
  <si>
    <t>MI0000000991658</t>
  </si>
  <si>
    <t>MI0000000991710</t>
  </si>
  <si>
    <t>MI0000000991714</t>
  </si>
  <si>
    <t>MI0000000991872</t>
  </si>
  <si>
    <t>TK600482</t>
  </si>
  <si>
    <t>ORUÇ  BIRLIK  TIC.LTD.STI.(MERKEZ)</t>
  </si>
  <si>
    <t>MH0000000125539</t>
  </si>
  <si>
    <t>MH0000000125540</t>
  </si>
  <si>
    <t>TK010018</t>
  </si>
  <si>
    <t>BIRLIK   GIDA SAN.VE TIC.LTD.STI.(MERKEZ)</t>
  </si>
  <si>
    <t>MH0000000125689</t>
  </si>
  <si>
    <t>MH0000000125888</t>
  </si>
  <si>
    <t>MI0000000914610</t>
  </si>
  <si>
    <t>MI0000000914734</t>
  </si>
  <si>
    <t>MI0000000914847</t>
  </si>
  <si>
    <t>MI0000000914991</t>
  </si>
  <si>
    <t>MI0000000915004</t>
  </si>
  <si>
    <t>MI0000000915177</t>
  </si>
  <si>
    <t>TK901533</t>
  </si>
  <si>
    <t>ŞANLI GID VE SAN.TIC.LTD   STI.(ORUÇ HIPERMARKET)</t>
  </si>
  <si>
    <t>MI0000000915509</t>
  </si>
  <si>
    <t>MI0000000915642</t>
  </si>
  <si>
    <t>MI0000000915689</t>
  </si>
  <si>
    <t>MI0000000915767</t>
  </si>
  <si>
    <t>MI0000000915771</t>
  </si>
  <si>
    <t>MI0000000915835</t>
  </si>
  <si>
    <t>MI0000000915855</t>
  </si>
  <si>
    <t>MI0000000915865</t>
  </si>
  <si>
    <t>MI0000000915875</t>
  </si>
  <si>
    <t>MI0000000915913</t>
  </si>
  <si>
    <t>MI0000000915924</t>
  </si>
  <si>
    <t>MI0000000915960</t>
  </si>
  <si>
    <t>MI0000000916413</t>
  </si>
  <si>
    <t>MI0000000916485</t>
  </si>
  <si>
    <t>MI0000000916514</t>
  </si>
  <si>
    <t>MI0000000916596</t>
  </si>
  <si>
    <t>MI0000000916603</t>
  </si>
  <si>
    <t>MI0000000916672</t>
  </si>
  <si>
    <t>MI0000000916790</t>
  </si>
  <si>
    <t>MI0000000916791</t>
  </si>
  <si>
    <t>MI0000000916792</t>
  </si>
  <si>
    <t>MI0000000916795</t>
  </si>
  <si>
    <t>MI0000000916945</t>
  </si>
  <si>
    <t>TK901631</t>
  </si>
  <si>
    <t>HİLAL TİC.LTD.ŞTİ.</t>
  </si>
  <si>
    <t>MI0000000296043</t>
  </si>
  <si>
    <t>MI0000000296050</t>
  </si>
  <si>
    <t>TK014126</t>
  </si>
  <si>
    <t>BURAK BURO SAN.VE TIC.LTD.STI.</t>
  </si>
  <si>
    <t>MH0000000933622</t>
  </si>
  <si>
    <t>MI0000000033621</t>
  </si>
  <si>
    <t>MI0000000033623</t>
  </si>
  <si>
    <t>MI0000000057650</t>
  </si>
  <si>
    <t>TK010008</t>
  </si>
  <si>
    <t>ÇAGRI  INS.SAN.TIC.LTD.STI.(MERKEZ)</t>
  </si>
  <si>
    <t>MH0000000171001</t>
  </si>
  <si>
    <t>TK901502</t>
  </si>
  <si>
    <t>TEM.MAD.INS.SAN.TIC.LTD.STI.(MERKEZ)</t>
  </si>
  <si>
    <t>MH0000000171010</t>
  </si>
  <si>
    <t>TK600471</t>
  </si>
  <si>
    <t>MAKİ INS.SAN.TIC.LTD.STI.(MERKEZ)</t>
  </si>
  <si>
    <t>MI0000000170622</t>
  </si>
  <si>
    <t>MI0000000171511</t>
  </si>
  <si>
    <t>TK014232</t>
  </si>
  <si>
    <t>CAG MARKET  TEKS.TUR.INS.SAN.TIC.LTD.STI.</t>
  </si>
  <si>
    <t>MI0000000002996</t>
  </si>
  <si>
    <t>MI0000000067814</t>
  </si>
  <si>
    <t>MI0000000067815</t>
  </si>
  <si>
    <t>MI0000000067825</t>
  </si>
  <si>
    <t>TK010357</t>
  </si>
  <si>
    <t>SERRA ALISVERIS   HIZ./YILMAZ ÇAKIR</t>
  </si>
  <si>
    <t>MI0000000460429</t>
  </si>
  <si>
    <t>MI0000000460430</t>
  </si>
  <si>
    <t>MI0000000460504</t>
  </si>
  <si>
    <t>MI0000000460507</t>
  </si>
  <si>
    <t>TK010047</t>
  </si>
  <si>
    <t>ARTI GIDA PAZ.SAN.TIC.LTD.STI.(MERKEZ)</t>
  </si>
  <si>
    <t>MI0000000026070</t>
  </si>
  <si>
    <t>TK011410</t>
  </si>
  <si>
    <t xml:space="preserve">ÇETINKAYA GIDA </t>
  </si>
  <si>
    <t>MH0000000137262</t>
  </si>
  <si>
    <t>MH0000000867550</t>
  </si>
  <si>
    <t>MI0000000518701</t>
  </si>
  <si>
    <t>TK901501</t>
  </si>
  <si>
    <t>ANKARA GIDA SAN.TIC.AS   (MERKEZ)</t>
  </si>
  <si>
    <t>MI0000000518702</t>
  </si>
  <si>
    <t>MI0000000518705</t>
  </si>
  <si>
    <t>MI0000000787788</t>
  </si>
  <si>
    <t>MI0000000787789</t>
  </si>
  <si>
    <t>TK900212</t>
  </si>
  <si>
    <t>İZMİR ZINCIR MARKET   GIDA SAN.TIC.LTD.STI.</t>
  </si>
  <si>
    <t>MI0000000999855</t>
  </si>
  <si>
    <t>MI0000000999856</t>
  </si>
  <si>
    <t>TK010769</t>
  </si>
  <si>
    <t>DEMIRCANLAR TOPLU   TASIMA TIC.LTD.STI.</t>
  </si>
  <si>
    <t>MI0000000454822</t>
  </si>
  <si>
    <t>TK010366</t>
  </si>
  <si>
    <t>AYAZMA HIPERMARKET   GIDA SAN.TIC.LTD.STI.</t>
  </si>
  <si>
    <t>MH0000000349946</t>
  </si>
  <si>
    <t>TK900260</t>
  </si>
  <si>
    <t>VIP  HIPERMARKETLERI</t>
  </si>
  <si>
    <t>MH0000000442112</t>
  </si>
  <si>
    <t>MH0000000442113</t>
  </si>
  <si>
    <t>TK900133</t>
  </si>
  <si>
    <t>ARZU GIDA MADD.TIC.LTD.   STI.</t>
  </si>
  <si>
    <t>MI0000000352655</t>
  </si>
  <si>
    <t>TK010162</t>
  </si>
  <si>
    <t>CEREN GIDA MADD.TIC.LTD.STI.(MERKEZ)</t>
  </si>
  <si>
    <t>MI0000000352656</t>
  </si>
  <si>
    <t>TK902143</t>
  </si>
  <si>
    <t>DOST PERAKENDE ALISVERIS HIZ.A.S.</t>
  </si>
  <si>
    <t>MH0000000014986</t>
  </si>
  <si>
    <t>TK010454</t>
  </si>
  <si>
    <t>DONMEZ GIDA INSAAT TURIZM.SAN.VE TIC.LTD.STI.</t>
  </si>
  <si>
    <t>MI0000000292753</t>
  </si>
  <si>
    <t>TK010440</t>
  </si>
  <si>
    <t xml:space="preserve">DÖRTLER ALISVERIS HIZM.  </t>
  </si>
  <si>
    <t>MH0000000460880</t>
  </si>
  <si>
    <t>TK020093</t>
  </si>
  <si>
    <t>AKDURAK GIDA VE IHT.MAD.SAN   TIC.LTD.STI.</t>
  </si>
  <si>
    <t>MI0000000347143</t>
  </si>
  <si>
    <t>T3400037</t>
  </si>
  <si>
    <t>MDÜZEY TÜK.MAL.SAN.PAZARLAMA TICARET A.S</t>
  </si>
  <si>
    <t>AF0000000142023</t>
  </si>
  <si>
    <t>AF0000000142024</t>
  </si>
  <si>
    <t>AF0000000142025</t>
  </si>
  <si>
    <t>AF0000000241484</t>
  </si>
  <si>
    <t>AF0000000241485</t>
  </si>
  <si>
    <t>AF0000000241558</t>
  </si>
  <si>
    <t>TK012406</t>
  </si>
  <si>
    <t>SECER GIDA TARIM VE HAY.TUR.INS.SAN.TIC.LTD.STI.</t>
  </si>
  <si>
    <t>MH0000000823173</t>
  </si>
  <si>
    <t>MH0000000823244</t>
  </si>
  <si>
    <t>MI0000000823155</t>
  </si>
  <si>
    <t>MI0000000823176</t>
  </si>
  <si>
    <t>TK901559</t>
  </si>
  <si>
    <t>CEMAR ECER GIDA TAR.VE HAYV.TUP.INS.SAN.TIC.LTD.STI.</t>
  </si>
  <si>
    <t>MI0000000823177</t>
  </si>
  <si>
    <t>MI0000000823207</t>
  </si>
  <si>
    <t>MI0000000823208</t>
  </si>
  <si>
    <t>TK013386</t>
  </si>
  <si>
    <t>EKINCIOGLU  GIDA  NAKLIYAT TURIZM SAN.TIC.LTD.STI.</t>
  </si>
  <si>
    <t>MI0000000193466</t>
  </si>
  <si>
    <t>TK901528</t>
  </si>
  <si>
    <t>EKONOMI GIDA INS.TUR.TEKS</t>
  </si>
  <si>
    <t>MI0000000016470</t>
  </si>
  <si>
    <t>MI0000000047299</t>
  </si>
  <si>
    <t>TK901592</t>
  </si>
  <si>
    <t>GUMUS EKOMAR GIDA SAN.TIC.LTD.   STI.</t>
  </si>
  <si>
    <t>MI0000000061679</t>
  </si>
  <si>
    <t>TK012787</t>
  </si>
  <si>
    <t>ELELE UNLU MAM.GIDA INS. SAN TIC LTD STI</t>
  </si>
  <si>
    <t>MI0000000126274</t>
  </si>
  <si>
    <t>T3400044</t>
  </si>
  <si>
    <t>FISKOBIRLIK ENTEGRE FIMDIK ISLEME TESISLERI SAN.VE TIC.A.S.</t>
  </si>
  <si>
    <t>AF0000000634539</t>
  </si>
  <si>
    <t>AF0000000634540</t>
  </si>
  <si>
    <t>AF0000000634541</t>
  </si>
  <si>
    <t>AF0000000634571</t>
  </si>
  <si>
    <t>TK010382</t>
  </si>
  <si>
    <t>ERSOY GIDA / MEHMET ERSOY</t>
  </si>
  <si>
    <t>MI0000000003155</t>
  </si>
  <si>
    <t>MI0000000003161</t>
  </si>
  <si>
    <t>TK901546</t>
  </si>
  <si>
    <t>ESIN GIDA INS.OTOMOTIV VE   TAS.SANAYI TIC.LTD.STI.</t>
  </si>
  <si>
    <t>MH0000000697486</t>
  </si>
  <si>
    <t>TK010042</t>
  </si>
  <si>
    <t>ESIN GIDA INS.OTO.TAS.SANAYI TIC.LTD.STI.(MERKEZ)</t>
  </si>
  <si>
    <t>MH0000000698459</t>
  </si>
  <si>
    <t>MH0000000698460</t>
  </si>
  <si>
    <t>MH0000000698461</t>
  </si>
  <si>
    <t>MH0000000698462</t>
  </si>
  <si>
    <t>MH0000000698463</t>
  </si>
  <si>
    <t>MI0000000697709</t>
  </si>
  <si>
    <t>MI0000000698160</t>
  </si>
  <si>
    <t>MI0000000698878</t>
  </si>
  <si>
    <t>TK900621</t>
  </si>
  <si>
    <t>FETMAR FETTAHOGLU GIDA   IHT.MAD.PAZ.TIC.LTD.STI.</t>
  </si>
  <si>
    <t>MI0000000084728</t>
  </si>
  <si>
    <t>MI0000000084814</t>
  </si>
  <si>
    <t>TK900144</t>
  </si>
  <si>
    <t>FARK GIDA INS.OTOM.SAN.VE   TIC.LTD.STI.</t>
  </si>
  <si>
    <t>MH0000000072023</t>
  </si>
  <si>
    <t>MI0000000072022</t>
  </si>
  <si>
    <t>TK012876</t>
  </si>
  <si>
    <t>FATIH GIDA INS  SAN TIC LTD STI (FATIH HIPERMARKET)</t>
  </si>
  <si>
    <t>MI0000000054275</t>
  </si>
  <si>
    <t>TK902187</t>
  </si>
  <si>
    <t>GİMPA ODAK GIDA .SAN.VE TIC. LTD.STI.</t>
  </si>
  <si>
    <t>MF0000000447186</t>
  </si>
  <si>
    <t>MH0000000447185</t>
  </si>
  <si>
    <t>TK013967</t>
  </si>
  <si>
    <t>GOCMAR GIDA TURIZM NAK.INS.SAN.TIC.LTD.STI.</t>
  </si>
  <si>
    <t>MI0000000828368</t>
  </si>
  <si>
    <t>TK013114</t>
  </si>
  <si>
    <t>BERITAN MANAVI</t>
  </si>
  <si>
    <t>MH0000000003828</t>
  </si>
  <si>
    <t>MH0000000003829</t>
  </si>
  <si>
    <t>TK902042</t>
  </si>
  <si>
    <t>ALDI GIDA INS.TASIMACILIK SAN.VE TIC.LTD.STI.(MERKEZ)</t>
  </si>
  <si>
    <t>MI0000000073924</t>
  </si>
  <si>
    <t>TK900092</t>
  </si>
  <si>
    <t>SIRIN  GIDA IHT.MAD.NAK.SAN.TIC.A.S</t>
  </si>
  <si>
    <t>MI0000000363455</t>
  </si>
  <si>
    <t>MI0000000363467</t>
  </si>
  <si>
    <t>MI0000000363556</t>
  </si>
  <si>
    <t>MI0000000363671</t>
  </si>
  <si>
    <t>MI0000000363683</t>
  </si>
  <si>
    <t>MI0000000363685</t>
  </si>
  <si>
    <t>MI0000000363692</t>
  </si>
  <si>
    <t>TK014161</t>
  </si>
  <si>
    <t>17 INS.TEM.TAS.LTD.STI.</t>
  </si>
  <si>
    <t>MI0000000264490</t>
  </si>
  <si>
    <t>TK901896</t>
  </si>
  <si>
    <t>GRUP  ALISVERIS MERKEZI SAN.TIC.LTD.STI.</t>
  </si>
  <si>
    <t>MH0000000079514</t>
  </si>
  <si>
    <t>TK010237</t>
  </si>
  <si>
    <t>AZER ALISVERIS MER.SAN.TIC.LTD.STI.(MERKEZ)</t>
  </si>
  <si>
    <t>MI0000000079373</t>
  </si>
  <si>
    <t>MI0000000079736</t>
  </si>
  <si>
    <t>MI0000000079739</t>
  </si>
  <si>
    <t>TK901840</t>
  </si>
  <si>
    <t>SARIGÜL TICARET GIDA VE IHT.</t>
  </si>
  <si>
    <t>MH0000000739487</t>
  </si>
  <si>
    <t>MI0000000739200</t>
  </si>
  <si>
    <t>TK010045</t>
  </si>
  <si>
    <t>MAVİGÜL TICARET GIDA VE IHT.</t>
  </si>
  <si>
    <t>MI0000000739201</t>
  </si>
  <si>
    <t>MI0000000740060</t>
  </si>
  <si>
    <t>TK012930</t>
  </si>
  <si>
    <t>GUR MARKET ABDURRAHMAN GUR</t>
  </si>
  <si>
    <t>MI0000000038170</t>
  </si>
  <si>
    <t>TK013275</t>
  </si>
  <si>
    <t>GUVEN GIDA INS.TURZ.VE ELEKTRIK SAN.TIC.LTD.STI.</t>
  </si>
  <si>
    <t>MI0000000001852</t>
  </si>
  <si>
    <t>TK600476</t>
  </si>
  <si>
    <t>HAKMAR GIDA TURIZM HAYV.   VE INS.SAN.LTD.STI.</t>
  </si>
  <si>
    <t>MH0000000570265</t>
  </si>
  <si>
    <t>TK013983</t>
  </si>
  <si>
    <t>HAKMAR MAGAZACILIK KTD.STI.</t>
  </si>
  <si>
    <t>MI0000000392615</t>
  </si>
  <si>
    <t>TK600467</t>
  </si>
  <si>
    <t>HAKMAR MAGAZACILIK LTD.STI.</t>
  </si>
  <si>
    <t>MI0000000724326</t>
  </si>
  <si>
    <t>MI0000000724327</t>
  </si>
  <si>
    <t>TK901500</t>
  </si>
  <si>
    <t>GRUP HATIPOGLU GIDA SAN.VE TIC.LTD.STI.(MERKEZ)</t>
  </si>
  <si>
    <t>M00000000814828</t>
  </si>
  <si>
    <t>MI0000000019797</t>
  </si>
  <si>
    <t>MI0000000020500</t>
  </si>
  <si>
    <t>MI0000000067838</t>
  </si>
  <si>
    <t>MI0000000090272</t>
  </si>
  <si>
    <t>MI0000000094723</t>
  </si>
  <si>
    <t>MI0000000161776</t>
  </si>
  <si>
    <t>MI0000000185363</t>
  </si>
  <si>
    <t>MI0000000185409</t>
  </si>
  <si>
    <t>MI0000000447643</t>
  </si>
  <si>
    <t>MI0000000447674</t>
  </si>
  <si>
    <t>MI0000000447716</t>
  </si>
  <si>
    <t>MI0000000447739</t>
  </si>
  <si>
    <t>MI0000000451309</t>
  </si>
  <si>
    <t>MI0000000487591</t>
  </si>
  <si>
    <t>MI0000000488639</t>
  </si>
  <si>
    <t>MI0000000489572</t>
  </si>
  <si>
    <t>MI0000000504605</t>
  </si>
  <si>
    <t>MI0000000523560</t>
  </si>
  <si>
    <t>MI0000000533664</t>
  </si>
  <si>
    <t>MI0000000533752</t>
  </si>
  <si>
    <t>MI0000000593646</t>
  </si>
  <si>
    <t>MI0000000719305</t>
  </si>
  <si>
    <t>MI0000000740463</t>
  </si>
  <si>
    <t>MI0000000864097</t>
  </si>
  <si>
    <t>MI0000000864126</t>
  </si>
  <si>
    <t>MI0000000864129</t>
  </si>
  <si>
    <t>MI0000000982323</t>
  </si>
  <si>
    <t>TK010159</t>
  </si>
  <si>
    <t>HEM &amp; BAK MARKET HIZ.VE   GIDA PAZ.LTD.STI.</t>
  </si>
  <si>
    <t>MI0000000260563</t>
  </si>
  <si>
    <t>T3400018</t>
  </si>
  <si>
    <t>HIPP DIS TICARET LTD.STI</t>
  </si>
  <si>
    <t>AF0000000843045</t>
  </si>
  <si>
    <t>AF0000000843083</t>
  </si>
  <si>
    <t>AF0000000843118</t>
  </si>
  <si>
    <t>AF0000000843297</t>
  </si>
  <si>
    <t>AF0000000843485</t>
  </si>
  <si>
    <t>AF0000000843606</t>
  </si>
  <si>
    <t>AF0000000843715</t>
  </si>
  <si>
    <t>TK010601</t>
  </si>
  <si>
    <t>HÜNKAR GIDA MAK.SAN.TIC.   LTD.STI.</t>
  </si>
  <si>
    <t>MI0000000509533</t>
  </si>
  <si>
    <t>TK010061</t>
  </si>
  <si>
    <t>ISPARTALILAR GIDA LTD.STI</t>
  </si>
  <si>
    <t>MI0000000533258</t>
  </si>
  <si>
    <t>MI0000000533309</t>
  </si>
  <si>
    <t>TK012055</t>
  </si>
  <si>
    <t>ISIK MARKET NUSRET ISIK</t>
  </si>
  <si>
    <t>MI0000000110605</t>
  </si>
  <si>
    <t>TK012989</t>
  </si>
  <si>
    <t>INTAS INS.EMLK.OTO GIDA SAN VE TIC.LTD.STI.(MISMAR)</t>
  </si>
  <si>
    <t>31.11.2011</t>
  </si>
  <si>
    <t>MI0000000207803</t>
  </si>
  <si>
    <t>TK020272</t>
  </si>
  <si>
    <t>KABACA INS.AKARYAKIT GIDA TUR.NAK.SAN.TIC.LTD.STI.</t>
  </si>
  <si>
    <t>MI0000000097975</t>
  </si>
  <si>
    <t>MI0000000974960</t>
  </si>
  <si>
    <t>TK010362</t>
  </si>
  <si>
    <t>KAMBEROGLU GIDA TEKS.INS.   TUR.ISLT.SAN.VE TIC.LTD.</t>
  </si>
  <si>
    <t>MI0000000004867</t>
  </si>
  <si>
    <t>TK900649</t>
  </si>
  <si>
    <t>KAPLAN GIDA PAZ.TUR.SAN.TIC.LTD.STI.</t>
  </si>
  <si>
    <t>MI0000000573053</t>
  </si>
  <si>
    <t>MI0000000573055</t>
  </si>
  <si>
    <t>MI0000000573070</t>
  </si>
  <si>
    <t>MI0000000573144</t>
  </si>
  <si>
    <t>MI0000000573914</t>
  </si>
  <si>
    <t>TK013075</t>
  </si>
  <si>
    <t>KAREK-AHMET KAR VE ORT.</t>
  </si>
  <si>
    <t>MI0000000004283</t>
  </si>
  <si>
    <t>TK013100</t>
  </si>
  <si>
    <t>KARAKOC TURZ.GIDA INS.OTO SAN.TIC.LTD.STI.</t>
  </si>
  <si>
    <t>MI0000000641284</t>
  </si>
  <si>
    <t>TK010375</t>
  </si>
  <si>
    <t>KARDESLER INS.GID.YAK.MAD   OTOM SAN.LTD.STI. (MRK)</t>
  </si>
  <si>
    <t>MI0000000000674</t>
  </si>
  <si>
    <t>TK902135</t>
  </si>
  <si>
    <t>KASE GIDA INS.SAN.TIC.LTD.STI.(YILMAZ MARKET)</t>
  </si>
  <si>
    <t>MI0000000909362</t>
  </si>
  <si>
    <t>TK013464</t>
  </si>
  <si>
    <t>KIZILKAYA GIDA TURIZM INS.SANAYI VE TIC.LTD.STI.</t>
  </si>
  <si>
    <t>MI0000000049601</t>
  </si>
  <si>
    <t>MI0000000049602</t>
  </si>
  <si>
    <t>MI0000000049604</t>
  </si>
  <si>
    <t>TK014106</t>
  </si>
  <si>
    <t>ESMA HIPERMARKET MAHMUT KIZILAY</t>
  </si>
  <si>
    <t>MH0000000000259</t>
  </si>
  <si>
    <t>MI0000000000244</t>
  </si>
  <si>
    <t>TK902192</t>
  </si>
  <si>
    <t>TÜM TİCARET PAZARLAMA LTD.ŞTİ.</t>
  </si>
  <si>
    <t>MI0000000366506</t>
  </si>
  <si>
    <t>MI0000000366507</t>
  </si>
  <si>
    <t>Mı0000000366518</t>
  </si>
  <si>
    <t>TK012259</t>
  </si>
  <si>
    <t>KOCAMANLAR SÜPER MARKET   HAKKI KOCAMAN VE ORT.</t>
  </si>
  <si>
    <t>MI0000000811931</t>
  </si>
  <si>
    <t>MI0000000812017</t>
  </si>
  <si>
    <t>TK900164</t>
  </si>
  <si>
    <t>KOÇOGLULAR GIDA INS.TURZ.   OTO.SAN.TIC.LTD.STI.</t>
  </si>
  <si>
    <t>MI0000000050938</t>
  </si>
  <si>
    <t>TK010588</t>
  </si>
  <si>
    <t>KOYUNCULAR GIDA PAZ.INS.   TIC.VE SAN.LTD.STI.</t>
  </si>
  <si>
    <t>MI0000000010024</t>
  </si>
  <si>
    <t>TK900360</t>
  </si>
  <si>
    <t>KOTILOGLU HIPERMARKET GIDA TEM.MAD.LTD.STI.</t>
  </si>
  <si>
    <t>MI0000000082008</t>
  </si>
  <si>
    <t>TK012744</t>
  </si>
  <si>
    <t>KOZA GIDA IHT.MAD.SAN.LTD.STI.</t>
  </si>
  <si>
    <t>MI0000000100022</t>
  </si>
  <si>
    <t>TK013640</t>
  </si>
  <si>
    <t>KOYLUCE ET VE SUT URUNLERI INS.SAN.TIC.LTD.STI.</t>
  </si>
  <si>
    <t>MI0000000083865</t>
  </si>
  <si>
    <t>TK012232</t>
  </si>
  <si>
    <t>KULE GIDA TEM.ÜRÜN.SAN.   TIC.LTD.STI.</t>
  </si>
  <si>
    <t>MH0000000905283</t>
  </si>
  <si>
    <t>MI0000000905162</t>
  </si>
  <si>
    <t>MI0000000905236</t>
  </si>
  <si>
    <t>MI0000000905503</t>
  </si>
  <si>
    <t>T3400017</t>
  </si>
  <si>
    <t>MARMARABIRLIK ZEYTIN TAR.   SATIS KOOP. BIRLIGI</t>
  </si>
  <si>
    <t>AF0000000353002</t>
  </si>
  <si>
    <t>AF0000000353034</t>
  </si>
  <si>
    <t>AF0000000353035</t>
  </si>
  <si>
    <t>AF0000000353073</t>
  </si>
  <si>
    <t>AF0000000353074</t>
  </si>
  <si>
    <t>AF0000000353172</t>
  </si>
  <si>
    <t>AF0000000353175</t>
  </si>
  <si>
    <t>AF0000000353300</t>
  </si>
  <si>
    <t>AF0000000353301</t>
  </si>
  <si>
    <t>AF0000000353323</t>
  </si>
  <si>
    <t>AF0000000353424</t>
  </si>
  <si>
    <t>AF0000000353425</t>
  </si>
  <si>
    <t>TK600506</t>
  </si>
  <si>
    <t>ISMAR MARKET.ZIN.TÜK.MAL.SAN.TIC.A.S(MERKEZ)</t>
  </si>
  <si>
    <t>MH0000000519681</t>
  </si>
  <si>
    <t>MH0000000519682</t>
  </si>
  <si>
    <t>MH0000000519683</t>
  </si>
  <si>
    <t>MH0000000533558</t>
  </si>
  <si>
    <t>MH0000000533565</t>
  </si>
  <si>
    <t>MH0000000533566</t>
  </si>
  <si>
    <t>MH0000000533567</t>
  </si>
  <si>
    <t>TK902188</t>
  </si>
  <si>
    <t>MH0000000533597</t>
  </si>
  <si>
    <t>MH0000000538441</t>
  </si>
  <si>
    <t>MH0000000538442</t>
  </si>
  <si>
    <t>MI0000000522209</t>
  </si>
  <si>
    <t>MI0000000533767</t>
  </si>
  <si>
    <t>MI0000000537086</t>
  </si>
  <si>
    <t>MI0000000537584</t>
  </si>
  <si>
    <t>TK901509</t>
  </si>
  <si>
    <t>MARTI GIDA MARKET TEKSTIL   TICARET LTD.STI.</t>
  </si>
  <si>
    <t>MI0000000088412</t>
  </si>
  <si>
    <t>TK010762</t>
  </si>
  <si>
    <t>MERTLER TICARET ARSLAN MERT</t>
  </si>
  <si>
    <t>MH0000000015816</t>
  </si>
  <si>
    <t>TK012048</t>
  </si>
  <si>
    <t>MERT GIDA HIRD.PAZ.TIC.   LTD.STI.</t>
  </si>
  <si>
    <t>MI0000000046130</t>
  </si>
  <si>
    <t>TK010009</t>
  </si>
  <si>
    <t>METAS GIDA INS.OTO.SAN.   TIC.LTD.STI.(MERKEZ)</t>
  </si>
  <si>
    <t>MH0000000429701</t>
  </si>
  <si>
    <t>MI0000000429577</t>
  </si>
  <si>
    <t>TK600481</t>
  </si>
  <si>
    <t>MOPAS MARKETÇILIK TIC.A.S</t>
  </si>
  <si>
    <t>MH0000000200147</t>
  </si>
  <si>
    <t>MH0000000200268</t>
  </si>
  <si>
    <t>MI0000000190858</t>
  </si>
  <si>
    <t>MI0000000191554</t>
  </si>
  <si>
    <t>MI0000000191555</t>
  </si>
  <si>
    <t>MI0000000191556</t>
  </si>
  <si>
    <t>MI0000000191954</t>
  </si>
  <si>
    <t>MI0000000192051</t>
  </si>
  <si>
    <t>MI0000000192575</t>
  </si>
  <si>
    <t>MI0000000193015</t>
  </si>
  <si>
    <t>MI0000000193069</t>
  </si>
  <si>
    <t>MI0000000193070</t>
  </si>
  <si>
    <t>MI0000000193071</t>
  </si>
  <si>
    <t>MI0000000193072</t>
  </si>
  <si>
    <t>MI0000000193582</t>
  </si>
  <si>
    <t>MI0000000193647</t>
  </si>
  <si>
    <t>MI0000000194013</t>
  </si>
  <si>
    <t>MI0000000194157</t>
  </si>
  <si>
    <t>MI0000000194158</t>
  </si>
  <si>
    <t>MI0000000194160</t>
  </si>
  <si>
    <t>MI0000000194166</t>
  </si>
  <si>
    <t>MI0000000194712</t>
  </si>
  <si>
    <t>MI0000000191553</t>
  </si>
  <si>
    <t>TK010861</t>
  </si>
  <si>
    <t>NEZIH GIDA INS.SAN.VE TIC.LTD.STI.</t>
  </si>
  <si>
    <t>MH0000000428008</t>
  </si>
  <si>
    <t>MH0000000428009</t>
  </si>
  <si>
    <t>TK014174</t>
  </si>
  <si>
    <t>OBAK MARKET ISL.INS.SAN.TIC.LTD.STI.</t>
  </si>
  <si>
    <t>MI0000000025892</t>
  </si>
  <si>
    <t>TK010195</t>
  </si>
  <si>
    <t>ORKA MARKETLERI ORHANLAR   GIDA INS.SAN.TIC.LTD.STI.(MERKEZ)</t>
  </si>
  <si>
    <t>MI0000000185894</t>
  </si>
  <si>
    <t>TK010359</t>
  </si>
  <si>
    <t>VELTAS GIDA VE ITH.MAD.PAZ.TIC.LTD.STI.(EMNIYET MH.)</t>
  </si>
  <si>
    <t>MH0000000002118</t>
  </si>
  <si>
    <t>MI0000000002221</t>
  </si>
  <si>
    <t>TK010088</t>
  </si>
  <si>
    <t>ÖZCIHAN GIDA TUR.TEKS.INS   .SAN.TIC.LTD.STI.</t>
  </si>
  <si>
    <t>MI0000000806177</t>
  </si>
  <si>
    <t>TK013028</t>
  </si>
  <si>
    <t>OZAKMAR GIDA INS.TEKS.TURZ.OTO SAN.TIC.LTD.STI.</t>
  </si>
  <si>
    <t>MI0000000011269</t>
  </si>
  <si>
    <t>TK012292</t>
  </si>
  <si>
    <t>ÖZ ISPARTALILAR GIDA PAZ.   OTOM.SAN.TIC.LTD.STI.</t>
  </si>
  <si>
    <t>MI0000000869624</t>
  </si>
  <si>
    <t>TK014006</t>
  </si>
  <si>
    <t>OZ-CAG EKOMAR MARKET GIDA TEKS.INS.SAN.VE TIC.LTD.STI.</t>
  </si>
  <si>
    <t>MI0000000030243</t>
  </si>
  <si>
    <t>MI0000000030244</t>
  </si>
  <si>
    <t>TK901523</t>
  </si>
  <si>
    <t>ÖZKURUSLAR GIDA SAN.VE   TIC.LTD.STI.</t>
  </si>
  <si>
    <t>MH0000000383251</t>
  </si>
  <si>
    <t>MH0000000383353</t>
  </si>
  <si>
    <t>MI0000000383431</t>
  </si>
  <si>
    <t>MI0000000383436</t>
  </si>
  <si>
    <t>MI0000000383439</t>
  </si>
  <si>
    <t>MI0000000383441</t>
  </si>
  <si>
    <t>MI0000000383442</t>
  </si>
  <si>
    <t>MI0000000383504</t>
  </si>
  <si>
    <t>MI0000000383513</t>
  </si>
  <si>
    <t>MI0000000383818</t>
  </si>
  <si>
    <t>MI0000000383890</t>
  </si>
  <si>
    <t>MI0000000384181</t>
  </si>
  <si>
    <t>MI0000000384270</t>
  </si>
  <si>
    <t>MI0000000384272</t>
  </si>
  <si>
    <t>MI0000000384431</t>
  </si>
  <si>
    <t>MI0000000384523</t>
  </si>
  <si>
    <t>MI0000000384697</t>
  </si>
  <si>
    <t>MI0000000384863</t>
  </si>
  <si>
    <t>MI0000000384878</t>
  </si>
  <si>
    <t>MI0000000384951</t>
  </si>
  <si>
    <t>MI0000000384952</t>
  </si>
  <si>
    <t>MI0000000384963</t>
  </si>
  <si>
    <t>MI0000000384987</t>
  </si>
  <si>
    <t>TK901547</t>
  </si>
  <si>
    <t>ÖZLEM GIDA TURZ.INS.TAAH.   SAN.TIC.LTD.STI.</t>
  </si>
  <si>
    <t>MI0000000379971</t>
  </si>
  <si>
    <t>MI0000000379980</t>
  </si>
  <si>
    <t>TK900172</t>
  </si>
  <si>
    <t>ÖZMEN GIDA İHT.MAD.TURZ.SEY.ACNT.KUY.METAL ÜRN.İTH.İHR.SAN.TİC.LTD.ŞTİ.</t>
  </si>
  <si>
    <t>MI0000000258002</t>
  </si>
  <si>
    <t>TK010447</t>
  </si>
  <si>
    <t>ÖZ MERTLER GIDA INS.TEKS.   SAN.TIC.LTD.STI.</t>
  </si>
  <si>
    <t>MI0000000025453</t>
  </si>
  <si>
    <t>TK902123</t>
  </si>
  <si>
    <t>YAREN PAZARLAMA TAAHHUT TICARET UMRAL OZTURK</t>
  </si>
  <si>
    <t>MH0000000209132</t>
  </si>
  <si>
    <t>MH0000000980313</t>
  </si>
  <si>
    <t>MI0000000980267</t>
  </si>
  <si>
    <t>TK012594</t>
  </si>
  <si>
    <t>PANAYIR GIDA VE IHTIYAC AD.SAN.VE TIC.LTD.STI(MERKEZ)</t>
  </si>
  <si>
    <t>MI0000000000506</t>
  </si>
  <si>
    <t>TK011137</t>
  </si>
  <si>
    <t>PAPOGLU GIDA SAN.IC VE DIS TICARET LIMITED STI.(MERKEZ)</t>
  </si>
  <si>
    <t>MH0000000213706</t>
  </si>
  <si>
    <t>TK901515</t>
  </si>
  <si>
    <t>PAPOGLU GIDA SAN.IC VE DIS TICARET LIMITED STI.</t>
  </si>
  <si>
    <t>MI0000000751626</t>
  </si>
  <si>
    <t>MI0000000751661</t>
  </si>
  <si>
    <t>MI0000000751671</t>
  </si>
  <si>
    <t>T101</t>
  </si>
  <si>
    <t>DR.OETKER GIDA SAN.A.S.</t>
  </si>
  <si>
    <t>AF0000000854887</t>
  </si>
  <si>
    <t>AF0000000855669</t>
  </si>
  <si>
    <t>AF0000000855670</t>
  </si>
  <si>
    <t>AF0000000855671</t>
  </si>
  <si>
    <t>AF0000000855702</t>
  </si>
  <si>
    <t>AF0000000868102</t>
  </si>
  <si>
    <t>AF0000000868377</t>
  </si>
  <si>
    <t>AF0000000868378</t>
  </si>
  <si>
    <t>AF0000000869820</t>
  </si>
  <si>
    <t>AF0000000870228</t>
  </si>
  <si>
    <t>AF0000000870477</t>
  </si>
  <si>
    <t>AF0000000870816</t>
  </si>
  <si>
    <t>AF0000000870826</t>
  </si>
  <si>
    <t>AF0000000871079</t>
  </si>
  <si>
    <t>AF0000000871081</t>
  </si>
  <si>
    <t>AF0000000890954</t>
  </si>
  <si>
    <t>AF0000008548720</t>
  </si>
  <si>
    <t>TK900790</t>
  </si>
  <si>
    <t>SAGDIÇLAR IDEAL GIDA SAN.   DIS TIC.A.S.</t>
  </si>
  <si>
    <t>MH0000000170846</t>
  </si>
  <si>
    <t>MH0000000170974</t>
  </si>
  <si>
    <t>MI0000000167982</t>
  </si>
  <si>
    <t>MI0000000168331</t>
  </si>
  <si>
    <t>TK014317</t>
  </si>
  <si>
    <t>SAMPA GIDA UNLU MAM.SAN.TIC.LTD.STI.(SAMOA MARKET)</t>
  </si>
  <si>
    <t>MI0000000037922</t>
  </si>
  <si>
    <t>MI0000000037925</t>
  </si>
  <si>
    <t>TK014145</t>
  </si>
  <si>
    <t>SELDEM MARKET BULENT BOZDAG</t>
  </si>
  <si>
    <t>MI0000000006012</t>
  </si>
  <si>
    <t>TK010823</t>
  </si>
  <si>
    <t>SERRA ALISVERIS HIZMETL.TIC.LTD.STI.(MERKEZ)</t>
  </si>
  <si>
    <t>MH0000000363705</t>
  </si>
  <si>
    <t>TK901520</t>
  </si>
  <si>
    <t>SEYHANLAR GIDA TEKS.TRIKO   VE OTOM.SAN.TIC.LTD.STI.(MERKEZ)</t>
  </si>
  <si>
    <t>MI0000000510770</t>
  </si>
  <si>
    <t>MI0000000510941</t>
  </si>
  <si>
    <t>MI0000000510942</t>
  </si>
  <si>
    <t>MI0000000511072</t>
  </si>
  <si>
    <t>MI0000000511124</t>
  </si>
  <si>
    <t>TK012028</t>
  </si>
  <si>
    <t>SEZERLER GIDA INS.SAN.TIC   .LTD.STI.</t>
  </si>
  <si>
    <t>MH0000000024299</t>
  </si>
  <si>
    <t>MH0000000024373</t>
  </si>
  <si>
    <t>TK014342</t>
  </si>
  <si>
    <t>SELVI GIDA TEM.PAZ.VE DANISMANLIK LTD.STI.</t>
  </si>
  <si>
    <t>MI0000000568809</t>
  </si>
  <si>
    <t>TK012875</t>
  </si>
  <si>
    <t>SUN GIDA MARKET 3 IRFAN SUN</t>
  </si>
  <si>
    <t>MI0000000063324</t>
  </si>
  <si>
    <t>TK010227</t>
  </si>
  <si>
    <t>SAFAKLAR GIDA IHT.MAD.   PET.ÜRNL.TURZ.SAN.TIC.LTD(MERKEZ)</t>
  </si>
  <si>
    <t>MH0000000012073</t>
  </si>
  <si>
    <t>TK902045</t>
  </si>
  <si>
    <t>SAHIN GIDA INS.OTOM.SAN.TIC.LTD.STI.</t>
  </si>
  <si>
    <t>MH0000000098093</t>
  </si>
  <si>
    <t>MI0000000098079</t>
  </si>
  <si>
    <t>TK901508</t>
  </si>
  <si>
    <t>SANLIK SÜPER MARKET ADNAN   SANLIK</t>
  </si>
  <si>
    <t>MI0000000053175</t>
  </si>
  <si>
    <t>TK014256</t>
  </si>
  <si>
    <t>SIMSEKLER MARKETCILIK PAZ.GIDA INS.SAN.TIC.LTD.STI.</t>
  </si>
  <si>
    <t>MH0000000010452</t>
  </si>
  <si>
    <t>MH0000000010498</t>
  </si>
  <si>
    <t>MI0000000010500</t>
  </si>
  <si>
    <t>TK901294</t>
  </si>
  <si>
    <t>SIT PROMA MARKETLERI GURSEL SIT</t>
  </si>
  <si>
    <t>MI0000000008091</t>
  </si>
  <si>
    <t>TK012165</t>
  </si>
  <si>
    <t>SOVMAR GIDA TEKS.MOB.INS.ITH.IHR.LTD.STI.</t>
  </si>
  <si>
    <t>MI0000000572581</t>
  </si>
  <si>
    <t>TK020246</t>
  </si>
  <si>
    <t>SULE YATIRIM INS.TIC.LTD.   STI.</t>
  </si>
  <si>
    <t>MI0000000036029</t>
  </si>
  <si>
    <t>TK014354</t>
  </si>
  <si>
    <t>TEK ORGANIK GIDA TEKS.SAN.PAZ.LTD.STI.</t>
  </si>
  <si>
    <t>MI0000000036111</t>
  </si>
  <si>
    <t>TK012782</t>
  </si>
  <si>
    <t>KARDESLER GIDA  NAK. BEHICE TERCANLI</t>
  </si>
  <si>
    <t>MI0000000024406</t>
  </si>
  <si>
    <t>TK010983</t>
  </si>
  <si>
    <t>GRUP BEYOGLU GIDA TUR.INS   SAN.LTD.STI.</t>
  </si>
  <si>
    <t>MI0000000428674</t>
  </si>
  <si>
    <t>TK010076</t>
  </si>
  <si>
    <t>TOPRAK GIDA SAN.LTD.STI.</t>
  </si>
  <si>
    <t>MI0000000221184</t>
  </si>
  <si>
    <t>TK014215</t>
  </si>
  <si>
    <t>TURKAS GIDA HIZ.ISLT.A.S.</t>
  </si>
  <si>
    <t>MI0000000802726</t>
  </si>
  <si>
    <t>TK010929</t>
  </si>
  <si>
    <t>TÜMKO GIDA BITKI ÜRETIM   INS.OTO.ENRJ.KAYN.SAN.TIC</t>
  </si>
  <si>
    <t>MI0000000340350</t>
  </si>
  <si>
    <t>MI0000000340630</t>
  </si>
  <si>
    <t>MI0000000340631</t>
  </si>
  <si>
    <t>TK010699</t>
  </si>
  <si>
    <t>UGURLAR GIDA VE IHT.MADD.   TICARET LTD.STI.</t>
  </si>
  <si>
    <t>MI0000000046408</t>
  </si>
  <si>
    <t>MI0000000046409</t>
  </si>
  <si>
    <t>TK902190</t>
  </si>
  <si>
    <t>UNKAR GIDA SAN.TIC.LTD.STI.</t>
  </si>
  <si>
    <t>MH0000000635831</t>
  </si>
  <si>
    <t>MH0000000635862</t>
  </si>
  <si>
    <t>TK901655</t>
  </si>
  <si>
    <t>VELTAS GIDA ITH.MAD.PAZ.LTD.STI.</t>
  </si>
  <si>
    <t>MI0000000082747</t>
  </si>
  <si>
    <t>MI0000000082755</t>
  </si>
  <si>
    <t>TK010776</t>
  </si>
  <si>
    <t>DEMTAS GIDA MAD.PAZ.SAN.   TIC.LTD.STI.(MERKEZ)</t>
  </si>
  <si>
    <t>MH0000000913529</t>
  </si>
  <si>
    <t>MH0000000913798</t>
  </si>
  <si>
    <t>MI0000000117505</t>
  </si>
  <si>
    <t>MI0000000122347</t>
  </si>
  <si>
    <t>TK901597</t>
  </si>
  <si>
    <t>DEMTAS GIDA MAD.PAZ.SAN.   TIC.LTD.STI.-MERKEZ</t>
  </si>
  <si>
    <t>MI0000000913320</t>
  </si>
  <si>
    <t>MI0000000913322</t>
  </si>
  <si>
    <t>MI0000000913389</t>
  </si>
  <si>
    <t>MI0000000913390</t>
  </si>
  <si>
    <t>MI0000000913391</t>
  </si>
  <si>
    <t>MI0000000913392</t>
  </si>
  <si>
    <t>MI0000000913393</t>
  </si>
  <si>
    <t>MI0000000913747</t>
  </si>
  <si>
    <t>MI0000000913748</t>
  </si>
  <si>
    <t>MI0000000913812</t>
  </si>
  <si>
    <t>TK902184</t>
  </si>
  <si>
    <t>YAPRAK MARKETCILIK PAZ.TIC.LTD.STI.</t>
  </si>
  <si>
    <t>MI0000000529001</t>
  </si>
  <si>
    <t>MI0000000529012</t>
  </si>
  <si>
    <t>TK010961</t>
  </si>
  <si>
    <t>YAVUZ GIDA VE IHT.MAD.INS   SAN.TIC.LTD.STI.</t>
  </si>
  <si>
    <t>MI0000000074542</t>
  </si>
  <si>
    <t>MI0000000074544</t>
  </si>
  <si>
    <t>TK901609</t>
  </si>
  <si>
    <t>YAZICI GIDA DAY.TÜK.INS.   MAL.PAZ.SAN.TIC.LTD.STI.</t>
  </si>
  <si>
    <t>MI0000000106200</t>
  </si>
  <si>
    <t>TK010100</t>
  </si>
  <si>
    <t>YESIL ARTVIN GIDA VE IHT.MAD.SAN.VE TIC.LTD.STI.</t>
  </si>
  <si>
    <t>MI0000000045558</t>
  </si>
  <si>
    <t>TK020270</t>
  </si>
  <si>
    <t>YILDIRIM TUR.NAK.INS.OTOSAN.TIC.LTD.STI.</t>
  </si>
  <si>
    <t>MI0000000048544</t>
  </si>
  <si>
    <t>TK902158</t>
  </si>
  <si>
    <t>HACIOGLU YILDIZ GIDA AHMET YILDIZ</t>
  </si>
  <si>
    <t>MI0000000036161</t>
  </si>
  <si>
    <t>TK010048</t>
  </si>
  <si>
    <t>YILDIZ GIDA OTO INS.TIC.   LTD.STI.</t>
  </si>
  <si>
    <t>MI0000000536557</t>
  </si>
  <si>
    <t>MI0000000536627</t>
  </si>
  <si>
    <t>MI0000000536696</t>
  </si>
  <si>
    <t>TK012451</t>
  </si>
  <si>
    <t>YILDIZ HIPERMARKET GIDA   INS.SAN.DIS TIC.LTD.STI.</t>
  </si>
  <si>
    <t>MI0000000125025</t>
  </si>
  <si>
    <t>TK902189</t>
  </si>
  <si>
    <t>YILDIZ 53 GIDA IHT.MAD.PAZ.DAG.SAN.TIC.LTD.STI.</t>
  </si>
  <si>
    <t>MI0000000115154</t>
  </si>
  <si>
    <t>TK901562</t>
  </si>
  <si>
    <t>YILMAN GIDA VE DAY.TUK.MAD.TIC.LTD.STI.</t>
  </si>
  <si>
    <t>MI0000000391691</t>
  </si>
  <si>
    <t>TK012685</t>
  </si>
  <si>
    <t>YILMAZ KARDESLER GIDA DAY.TUK.MAD.TIC.LTD.STI.</t>
  </si>
  <si>
    <t>MI0000000290483</t>
  </si>
  <si>
    <t>TK014306</t>
  </si>
  <si>
    <t>YIGIT MARKET GIDA INS.SAN.TIC.LTD.STI.</t>
  </si>
  <si>
    <t>MI0000000104629</t>
  </si>
  <si>
    <t>TK014311</t>
  </si>
  <si>
    <t>ERPA GIDA MARKET ISMAIL BULUT</t>
  </si>
  <si>
    <t>MI0000000057966</t>
  </si>
  <si>
    <t>TK013329</t>
  </si>
  <si>
    <t>OZKARDESLER HIPERMARKET ALI TOLHAN</t>
  </si>
  <si>
    <t>MI0000000004736</t>
  </si>
  <si>
    <t>TK013776</t>
  </si>
  <si>
    <t>ADIGUZEL MEHMET ADIGUZEL</t>
  </si>
  <si>
    <t>MI0000000000036</t>
  </si>
  <si>
    <t>TK011008</t>
  </si>
  <si>
    <t>MURAT GIDA CEMAL SENEL</t>
  </si>
  <si>
    <t>MI0000000055724</t>
  </si>
  <si>
    <t>TK012855</t>
  </si>
  <si>
    <t>BILGIN MARKET ISLAM BILGIN</t>
  </si>
  <si>
    <t>MI0000000002139</t>
  </si>
  <si>
    <t>TK011982</t>
  </si>
  <si>
    <t>ÇAKIRLAR MARKET HÜSEYIN   ÇAKIR</t>
  </si>
  <si>
    <t>MI0000000018815</t>
  </si>
  <si>
    <t>TK901403</t>
  </si>
  <si>
    <t>DOGANLAR MARKET LOKMAN DOGAN</t>
  </si>
  <si>
    <t>MI0000000070715</t>
  </si>
  <si>
    <t>MI0000000070731</t>
  </si>
  <si>
    <t>TK020276</t>
  </si>
  <si>
    <t>AYYILDIZ MARKET SENOL AYYILDIZ</t>
  </si>
  <si>
    <t>MI0000000013507</t>
  </si>
  <si>
    <t>TK010046</t>
  </si>
  <si>
    <t>BAG TOPTAN GIDA VE TEMIZLIK FATIH TELCI</t>
  </si>
  <si>
    <t>MI0000000021779</t>
  </si>
  <si>
    <t>TK013898</t>
  </si>
  <si>
    <t>YAYLA PEYNIRCILIK EBUBEKIR SONCUL</t>
  </si>
  <si>
    <t>MH0000000000642</t>
  </si>
  <si>
    <t>TK902066</t>
  </si>
  <si>
    <t>AFYON GIDA ET VE SUT MAMULLERI</t>
  </si>
  <si>
    <t>MH0000000189239</t>
  </si>
  <si>
    <t>MI0000000189092</t>
  </si>
  <si>
    <t>MI0000000189093</t>
  </si>
  <si>
    <t>MI0000000189580</t>
  </si>
  <si>
    <t>MI0000000190181</t>
  </si>
  <si>
    <t>MI0000000190182</t>
  </si>
  <si>
    <t>TK902120</t>
  </si>
  <si>
    <t>TEMPA GIDA PAZ.VE DAG.</t>
  </si>
  <si>
    <t>MI0000000015657</t>
  </si>
  <si>
    <t>TK020229</t>
  </si>
  <si>
    <t>SERIN MARKET</t>
  </si>
  <si>
    <t>MI0000000345232</t>
  </si>
  <si>
    <t>TK014371</t>
  </si>
  <si>
    <t xml:space="preserve">YALI ÇIFTLIGI </t>
  </si>
  <si>
    <t>MI0000000024057</t>
  </si>
  <si>
    <t>TK013794</t>
  </si>
  <si>
    <t>AKPINAR GIDA</t>
  </si>
  <si>
    <t>MI0000000015897</t>
  </si>
  <si>
    <t>TK010523</t>
  </si>
  <si>
    <t>YAKIN MARKET</t>
  </si>
  <si>
    <t>MI0000000656284</t>
  </si>
  <si>
    <t>TK013762</t>
  </si>
  <si>
    <t>CEYLAN GIDA</t>
  </si>
  <si>
    <t>MI0000000006756</t>
  </si>
  <si>
    <t>TK013087</t>
  </si>
  <si>
    <t xml:space="preserve">KARDESLER GIDA </t>
  </si>
  <si>
    <t>MH0000000011123</t>
  </si>
  <si>
    <t>MI0000000011124</t>
  </si>
  <si>
    <t>TK900359</t>
  </si>
  <si>
    <t>FILIZ SUPERMARKET</t>
  </si>
  <si>
    <t>MI0000000005517</t>
  </si>
  <si>
    <t>TK010436</t>
  </si>
  <si>
    <t>FILIZ SÜPER MARKET</t>
  </si>
  <si>
    <t>MI0000000005520</t>
  </si>
  <si>
    <t>TK010819</t>
  </si>
  <si>
    <t>FURKAN GIDA TOP.TUK.IHT.MAD.</t>
  </si>
  <si>
    <t>MI0000000023890</t>
  </si>
  <si>
    <t>TK010952</t>
  </si>
  <si>
    <t>BOZDAG HIPERMARKET</t>
  </si>
  <si>
    <t>MI0000000000015</t>
  </si>
  <si>
    <t>TK900108</t>
  </si>
  <si>
    <t xml:space="preserve">ÖZMIS GIDA </t>
  </si>
  <si>
    <t>MH0000000002709</t>
  </si>
  <si>
    <t>MI0000000011517</t>
  </si>
  <si>
    <t>TK014180</t>
  </si>
  <si>
    <t>TEPE GIDA</t>
  </si>
  <si>
    <t>MH0000000568113</t>
  </si>
  <si>
    <t>TK010101</t>
  </si>
  <si>
    <t>KAYALAR GIDA VE IHT.MAD.TIC.</t>
  </si>
  <si>
    <t>MI0000000113695</t>
  </si>
  <si>
    <t>TK014244</t>
  </si>
  <si>
    <t>FURKAN MARKETING PAZAR.</t>
  </si>
  <si>
    <t>MI0000000023869</t>
  </si>
  <si>
    <t>TK014132</t>
  </si>
  <si>
    <t>UNAL GIDA PAZARI</t>
  </si>
  <si>
    <t>MI0000000018139</t>
  </si>
  <si>
    <t>TK012448</t>
  </si>
  <si>
    <t xml:space="preserve">NE-KAN GIDA TEM.MAL.   </t>
  </si>
  <si>
    <t>MI0000000005930</t>
  </si>
  <si>
    <t>TK902137</t>
  </si>
  <si>
    <t>MARMARA TOPLU TUK.</t>
  </si>
  <si>
    <t>MH0000000120378</t>
  </si>
  <si>
    <t>TK014202</t>
  </si>
  <si>
    <t xml:space="preserve">BIZIM SÜPER MARKET </t>
  </si>
  <si>
    <t>MI0000000024856</t>
  </si>
  <si>
    <t>TK013577</t>
  </si>
  <si>
    <t>OZKARDESLER HIPERMARKET</t>
  </si>
  <si>
    <t>MI0000000886585</t>
  </si>
  <si>
    <t>TK013181</t>
  </si>
  <si>
    <t xml:space="preserve">ERTURACLAR GIDA </t>
  </si>
  <si>
    <t>MI0000000153883</t>
  </si>
  <si>
    <t>TK010452</t>
  </si>
  <si>
    <t>ATMA GROSS MARKET</t>
  </si>
  <si>
    <t>MI0000000054147</t>
  </si>
  <si>
    <t>TK014102</t>
  </si>
  <si>
    <t>TEK GIDA</t>
  </si>
  <si>
    <t>MI0000000046641</t>
  </si>
  <si>
    <t>TK010185</t>
  </si>
  <si>
    <t xml:space="preserve">DARI HIPERMARKET </t>
  </si>
  <si>
    <t>MI0000000026600</t>
  </si>
  <si>
    <t>TK014142</t>
  </si>
  <si>
    <t>SELMA SARI</t>
  </si>
  <si>
    <t>MI0000000013249</t>
  </si>
  <si>
    <t>TK010180</t>
  </si>
  <si>
    <t>HACI BAKKAL HIPERMARKET</t>
  </si>
  <si>
    <t>MI0000000024682</t>
  </si>
  <si>
    <t>TK011313</t>
  </si>
  <si>
    <t>PALANDÖKEN TOP.PER.GD.</t>
  </si>
  <si>
    <t>MH0000000092248</t>
  </si>
  <si>
    <t>TK014199</t>
  </si>
  <si>
    <t>SAFKAN ENDUSTRIYEL TEM.GIDA</t>
  </si>
  <si>
    <t>MI0000000489487</t>
  </si>
  <si>
    <t>TK011108</t>
  </si>
  <si>
    <t>YENİ KARABAG MARKET</t>
  </si>
  <si>
    <t>MI0000000026712</t>
  </si>
  <si>
    <t>TK011397</t>
  </si>
  <si>
    <t>SITE MARKET</t>
  </si>
  <si>
    <t>MI0000000000371</t>
  </si>
  <si>
    <t>TK012523</t>
  </si>
  <si>
    <t xml:space="preserve">DEMIRCIOGLU MARKET </t>
  </si>
  <si>
    <t>MI0000000010396</t>
  </si>
  <si>
    <t>MI0000000190394</t>
  </si>
  <si>
    <t>TK013874</t>
  </si>
  <si>
    <t>OZ KARDESLER HIPERMARKET 33</t>
  </si>
  <si>
    <t>MI0000000000779</t>
  </si>
  <si>
    <t>TK014368</t>
  </si>
  <si>
    <t xml:space="preserve">BETA GIDA </t>
  </si>
  <si>
    <t>MI0000000240676</t>
  </si>
  <si>
    <t>TK013900</t>
  </si>
  <si>
    <t>COMOGLU PEYNIRCILIK</t>
  </si>
  <si>
    <t>MI0000000078195</t>
  </si>
  <si>
    <t>MI0000000078201</t>
  </si>
  <si>
    <t>TK020260</t>
  </si>
  <si>
    <t>AKYILDIZ GIDA PAZARI</t>
  </si>
  <si>
    <t>MI0000000065072</t>
  </si>
  <si>
    <t>TK010587</t>
  </si>
  <si>
    <t>TÜRKOGLU HIPERMARKET</t>
  </si>
  <si>
    <t>MH0000000003233</t>
  </si>
  <si>
    <t>TK013377</t>
  </si>
  <si>
    <t>UCLER GIDA</t>
  </si>
  <si>
    <t>MI0000000000013</t>
  </si>
  <si>
    <t>TK014385</t>
  </si>
  <si>
    <t>YASAR SAĞLAM</t>
  </si>
  <si>
    <t>MH0000000289429</t>
  </si>
  <si>
    <t>MH0000000289444</t>
  </si>
  <si>
    <t>TK012496</t>
  </si>
  <si>
    <t>SÖNMEZ TOPLU TÜKETIM</t>
  </si>
  <si>
    <t>MI0000000884812</t>
  </si>
  <si>
    <t>TK014384</t>
  </si>
  <si>
    <t>HALK GIDA</t>
  </si>
  <si>
    <t>MI0000000234317</t>
  </si>
  <si>
    <t>T3290001</t>
  </si>
  <si>
    <t>XV-MAR ORGANIZASYON NAKLIYAT VE TİC.LTD.ŞTİ</t>
  </si>
  <si>
    <t>31.09.2011</t>
  </si>
  <si>
    <t>V-MAR</t>
  </si>
  <si>
    <t>T3290002</t>
  </si>
  <si>
    <t>MERCEN BİLİŞİM VE İLETİŞİM SİST.SAN.TİC.LTD.ŞTİ</t>
  </si>
  <si>
    <t>SERCEN BİLİŞİM</t>
  </si>
  <si>
    <t>T3290003</t>
  </si>
  <si>
    <t>KIRMIZI MAVİ GEZEGEN ULUSLAR ARASI TUR.LTD.ŞTİ</t>
  </si>
  <si>
    <t>MAVİ GEZEGEN</t>
  </si>
  <si>
    <t>T3290004</t>
  </si>
  <si>
    <t>TEM OMV PETROL OFİSİ AŞ</t>
  </si>
  <si>
    <t>OMV PETROL AŞ</t>
  </si>
  <si>
    <t>T3290005</t>
  </si>
  <si>
    <t>ACO LOJISTIK LİMİTED ŞTİ</t>
  </si>
  <si>
    <t>TACO LOJISTIK</t>
  </si>
  <si>
    <t>FONKSİYON</t>
  </si>
  <si>
    <t>PARÇAAL()</t>
  </si>
  <si>
    <t>ÜRÜN KODU</t>
  </si>
  <si>
    <t>PARÇAAL</t>
  </si>
  <si>
    <t>excel</t>
  </si>
  <si>
    <t>İNGİLİZCE</t>
  </si>
  <si>
    <t>MID()</t>
  </si>
  <si>
    <t>TK2400BRS33</t>
  </si>
  <si>
    <t>AÇIKLAMA</t>
  </si>
  <si>
    <t>Bir metinden, belirli sayıda karakteri, belirttiğimiz konumdan başlamak üzere verir.</t>
  </si>
  <si>
    <t>TT2400İST22</t>
  </si>
  <si>
    <t>SÖZDİZİMİ</t>
  </si>
  <si>
    <r>
      <t>=</t>
    </r>
    <r>
      <rPr>
        <b/>
        <sz val="14"/>
        <color rgb="FF7030A0"/>
        <rFont val="Calibri"/>
        <family val="2"/>
        <charset val="162"/>
      </rPr>
      <t>PARÇAAL</t>
    </r>
    <r>
      <rPr>
        <b/>
        <sz val="14"/>
        <color theme="1"/>
        <rFont val="Calibri"/>
        <family val="2"/>
        <charset val="162"/>
      </rPr>
      <t>(</t>
    </r>
    <r>
      <rPr>
        <b/>
        <sz val="14"/>
        <color rgb="FFFF0000"/>
        <rFont val="Calibri"/>
        <family val="2"/>
        <charset val="162"/>
      </rPr>
      <t>Metin</t>
    </r>
    <r>
      <rPr>
        <b/>
        <sz val="14"/>
        <color theme="1"/>
        <rFont val="Calibri"/>
        <family val="2"/>
        <charset val="162"/>
      </rPr>
      <t>;</t>
    </r>
    <r>
      <rPr>
        <b/>
        <sz val="14"/>
        <color rgb="FF0070C0"/>
        <rFont val="Calibri"/>
        <family val="2"/>
        <charset val="162"/>
      </rPr>
      <t>Başlangıç_sayısı;</t>
    </r>
    <r>
      <rPr>
        <b/>
        <sz val="14"/>
        <color rgb="FF00B050"/>
        <rFont val="Calibri"/>
        <family val="2"/>
        <charset val="162"/>
      </rPr>
      <t>Alınacak_karakter_sayısı</t>
    </r>
    <r>
      <rPr>
        <b/>
        <sz val="14"/>
        <color theme="1"/>
        <rFont val="Calibri"/>
        <family val="2"/>
        <charset val="162"/>
      </rPr>
      <t>)</t>
    </r>
  </si>
  <si>
    <t>KT3000ANK21</t>
  </si>
  <si>
    <t>ÖRNEK</t>
  </si>
  <si>
    <t xml:space="preserve">=PARÇAAL(“ÖRNEK”;2;3)  
=PARÇAAL(A5;2;3) </t>
  </si>
  <si>
    <t>KT4000ANK21</t>
  </si>
  <si>
    <t>TT3000İST22</t>
  </si>
  <si>
    <t>TK1500İST22</t>
  </si>
  <si>
    <t>TR4000BRS33</t>
  </si>
  <si>
    <t>erda</t>
  </si>
  <si>
    <t>şubat</t>
  </si>
  <si>
    <t>firma</t>
  </si>
  <si>
    <t>ocak</t>
  </si>
  <si>
    <t>mart</t>
  </si>
  <si>
    <t>karsan</t>
  </si>
  <si>
    <t>denkim</t>
  </si>
  <si>
    <t>evteks</t>
  </si>
  <si>
    <t>karsan1</t>
  </si>
  <si>
    <t>denkim2</t>
  </si>
  <si>
    <t>evteks2</t>
  </si>
  <si>
    <t>erda2</t>
  </si>
  <si>
    <t>FATURA NO</t>
  </si>
  <si>
    <t>ADET</t>
  </si>
  <si>
    <t>FİYAT</t>
  </si>
  <si>
    <t>ÖDEME ŞEKLİ</t>
  </si>
  <si>
    <t>BAKİYE</t>
  </si>
  <si>
    <t>EĞER(E2="peşin";D2*0,94;D2*1,03)</t>
  </si>
  <si>
    <t>VADELİ</t>
  </si>
  <si>
    <t>PEŞİN</t>
  </si>
  <si>
    <t>PEŞİN SATIŞLARDA  %6 İNDİRİM UYGULANACAK</t>
  </si>
  <si>
    <t>3 AY VADELİ SATIŞLARDA %3 VADE FARKI UYGULANACAK</t>
  </si>
  <si>
    <t>ctrl+shift+L</t>
  </si>
  <si>
    <t>gün</t>
  </si>
  <si>
    <t>Ay</t>
  </si>
  <si>
    <t>Tarih</t>
  </si>
  <si>
    <t>Firma</t>
  </si>
  <si>
    <t>Ülke</t>
  </si>
  <si>
    <t>Temsilci</t>
  </si>
  <si>
    <t>Ürünler</t>
  </si>
  <si>
    <t>Tutar</t>
  </si>
  <si>
    <t>Başlangıç Tarihi</t>
  </si>
  <si>
    <t>Evteks</t>
  </si>
  <si>
    <t>Almanya</t>
  </si>
  <si>
    <t>Mustafa</t>
  </si>
  <si>
    <t>Havlu 5.000 Adet</t>
  </si>
  <si>
    <t>Bitiş Tarihi</t>
  </si>
  <si>
    <t>Karsan</t>
  </si>
  <si>
    <t>Bornoz 45 Takım</t>
  </si>
  <si>
    <t>Denkim</t>
  </si>
  <si>
    <t>Rusya</t>
  </si>
  <si>
    <t>El Havlusu</t>
  </si>
  <si>
    <t>Benner</t>
  </si>
  <si>
    <t>Bornoz 50 Takım</t>
  </si>
  <si>
    <t>Gamze</t>
  </si>
  <si>
    <t>Çocuk Giysisi</t>
  </si>
  <si>
    <t>İspanya</t>
  </si>
  <si>
    <t>Fransa</t>
  </si>
  <si>
    <t>gamze</t>
  </si>
  <si>
    <t>Havlu 45 adet</t>
  </si>
  <si>
    <t>ERDA</t>
  </si>
  <si>
    <t>Eda</t>
  </si>
  <si>
    <t>Bornoz</t>
  </si>
  <si>
    <t>DENDEX</t>
  </si>
  <si>
    <t>Nakışlı Havlu</t>
  </si>
  <si>
    <t>XCV Text</t>
  </si>
  <si>
    <t>Plaj Havlusu</t>
  </si>
  <si>
    <t>ETOPLA FONKSİYONU</t>
  </si>
  <si>
    <t>ctrl+m</t>
  </si>
  <si>
    <t>Cihaz Adı</t>
  </si>
  <si>
    <t>Satılan (Adet)</t>
  </si>
  <si>
    <t>etopla</t>
  </si>
  <si>
    <t>Anestezi Cihazı</t>
  </si>
  <si>
    <t>Ventilatör</t>
  </si>
  <si>
    <t>Küvöz</t>
  </si>
  <si>
    <t>Ameliyat Masası</t>
  </si>
  <si>
    <t>Cihazların Toplam Adetleri</t>
  </si>
  <si>
    <t>Monitör</t>
  </si>
  <si>
    <t>toplam adet</t>
  </si>
  <si>
    <t>İstanilen Koşulların
Ortalama Değerlerini Bulunuz.</t>
  </si>
  <si>
    <t>Ürün</t>
  </si>
  <si>
    <t>Adet</t>
  </si>
  <si>
    <t>Satıcı</t>
  </si>
  <si>
    <t>İller</t>
  </si>
  <si>
    <t>1.şart</t>
  </si>
  <si>
    <t>2.Şart</t>
  </si>
  <si>
    <t>3.Şart</t>
  </si>
  <si>
    <t>Sonuç</t>
  </si>
  <si>
    <t>Değer</t>
  </si>
  <si>
    <t>Tarayıcı</t>
  </si>
  <si>
    <t>Zeki</t>
  </si>
  <si>
    <t>İstanbul</t>
  </si>
  <si>
    <t>( 1 )</t>
  </si>
  <si>
    <t>Yazıcı</t>
  </si>
  <si>
    <t>Baki</t>
  </si>
  <si>
    <t>Ankara</t>
  </si>
  <si>
    <t>( 2 )</t>
  </si>
  <si>
    <t>5 den büyük</t>
  </si>
  <si>
    <t>( 3 )</t>
  </si>
  <si>
    <t>5den büyük eşit</t>
  </si>
  <si>
    <t>( 4 )</t>
  </si>
  <si>
    <t>9dan büyük</t>
  </si>
  <si>
    <r>
      <t>ÇOKEĞERORTALAMA</t>
    </r>
    <r>
      <rPr>
        <b/>
        <sz val="20"/>
        <color theme="9" tint="-0.249977111117893"/>
        <rFont val="Calibri"/>
        <family val="2"/>
        <charset val="162"/>
        <scheme val="minor"/>
      </rPr>
      <t>(</t>
    </r>
    <r>
      <rPr>
        <sz val="16"/>
        <color theme="7" tint="-0.249977111117893"/>
        <rFont val="Calibri"/>
        <family val="2"/>
        <charset val="162"/>
        <scheme val="minor"/>
      </rPr>
      <t>B3:B8</t>
    </r>
    <r>
      <rPr>
        <b/>
        <sz val="20"/>
        <color rgb="FFFF0000"/>
        <rFont val="Calibri"/>
        <family val="2"/>
        <charset val="162"/>
        <scheme val="minor"/>
      </rPr>
      <t>;</t>
    </r>
    <r>
      <rPr>
        <sz val="16"/>
        <color theme="9" tint="-0.499984740745262"/>
        <rFont val="Calibri"/>
        <family val="2"/>
        <charset val="162"/>
        <scheme val="minor"/>
      </rPr>
      <t>A3:A8</t>
    </r>
    <r>
      <rPr>
        <b/>
        <sz val="20"/>
        <color rgb="FFFF0000"/>
        <rFont val="Calibri"/>
        <family val="2"/>
        <charset val="162"/>
        <scheme val="minor"/>
      </rPr>
      <t>;</t>
    </r>
    <r>
      <rPr>
        <sz val="16"/>
        <color theme="9" tint="-0.499984740745262"/>
        <rFont val="Calibri"/>
        <family val="2"/>
        <charset val="162"/>
        <scheme val="minor"/>
      </rPr>
      <t>G3</t>
    </r>
    <r>
      <rPr>
        <b/>
        <sz val="20"/>
        <color rgb="FFFF0000"/>
        <rFont val="Calibri"/>
        <family val="2"/>
        <charset val="162"/>
        <scheme val="minor"/>
      </rPr>
      <t>;</t>
    </r>
    <r>
      <rPr>
        <sz val="16"/>
        <color theme="5" tint="-0.249977111117893"/>
        <rFont val="Calibri"/>
        <family val="2"/>
        <charset val="162"/>
        <scheme val="minor"/>
      </rPr>
      <t>D3:D8</t>
    </r>
    <r>
      <rPr>
        <b/>
        <sz val="20"/>
        <color rgb="FFFF0000"/>
        <rFont val="Calibri"/>
        <family val="2"/>
        <charset val="162"/>
        <scheme val="minor"/>
      </rPr>
      <t>;</t>
    </r>
    <r>
      <rPr>
        <sz val="16"/>
        <color theme="5" tint="-0.249977111117893"/>
        <rFont val="Calibri"/>
        <family val="2"/>
        <charset val="162"/>
        <scheme val="minor"/>
      </rPr>
      <t>H3</t>
    </r>
    <r>
      <rPr>
        <b/>
        <sz val="20"/>
        <color rgb="FFFF0000"/>
        <rFont val="Calibri"/>
        <family val="2"/>
        <charset val="162"/>
        <scheme val="minor"/>
      </rPr>
      <t>;</t>
    </r>
    <r>
      <rPr>
        <sz val="16"/>
        <color theme="4" tint="-0.249977111117893"/>
        <rFont val="Calibri"/>
        <family val="2"/>
        <charset val="162"/>
        <scheme val="minor"/>
      </rPr>
      <t>C3:C8</t>
    </r>
    <r>
      <rPr>
        <b/>
        <sz val="20"/>
        <color rgb="FFFF0000"/>
        <rFont val="Calibri"/>
        <family val="2"/>
        <charset val="162"/>
        <scheme val="minor"/>
      </rPr>
      <t>;</t>
    </r>
    <r>
      <rPr>
        <sz val="16"/>
        <color theme="4" tint="-0.249977111117893"/>
        <rFont val="Calibri"/>
        <family val="2"/>
        <charset val="162"/>
        <scheme val="minor"/>
      </rPr>
      <t>I3</t>
    </r>
    <r>
      <rPr>
        <b/>
        <sz val="20"/>
        <color theme="9" tint="-0.249977111117893"/>
        <rFont val="Calibri"/>
        <family val="2"/>
        <charset val="162"/>
        <scheme val="minor"/>
      </rPr>
      <t>)</t>
    </r>
  </si>
  <si>
    <r>
      <t xml:space="preserve">ÇOKEĞERORTALAMA </t>
    </r>
    <r>
      <rPr>
        <b/>
        <sz val="16"/>
        <color theme="9" tint="-0.249977111117893"/>
        <rFont val="Calibri"/>
        <family val="2"/>
        <charset val="162"/>
        <scheme val="minor"/>
      </rPr>
      <t>(</t>
    </r>
    <r>
      <rPr>
        <sz val="12"/>
        <rFont val="Calibri"/>
        <family val="2"/>
        <charset val="162"/>
        <scheme val="minor"/>
      </rPr>
      <t xml:space="preserve"> </t>
    </r>
    <r>
      <rPr>
        <sz val="12"/>
        <color theme="7" tint="-0.249977111117893"/>
        <rFont val="Calibri"/>
        <family val="2"/>
        <charset val="162"/>
        <scheme val="minor"/>
      </rPr>
      <t>Ortalaması Alınacak Olan Sayıların Bulunduğu Hücreleri Tara</t>
    </r>
    <r>
      <rPr>
        <b/>
        <sz val="16"/>
        <color rgb="FFFF0000"/>
        <rFont val="Calibri"/>
        <family val="2"/>
        <charset val="162"/>
        <scheme val="minor"/>
      </rPr>
      <t xml:space="preserve"> ; </t>
    </r>
    <r>
      <rPr>
        <sz val="12"/>
        <rFont val="Calibri"/>
        <family val="2"/>
        <charset val="162"/>
        <scheme val="minor"/>
      </rPr>
      <t xml:space="preserve">
                                       </t>
    </r>
    <r>
      <rPr>
        <sz val="12"/>
        <color theme="9" tint="-0.499984740745262"/>
        <rFont val="Calibri"/>
        <family val="2"/>
        <charset val="162"/>
        <scheme val="minor"/>
      </rPr>
      <t>1. Koşulun Bulunduğu Hücreleri Tara</t>
    </r>
    <r>
      <rPr>
        <b/>
        <sz val="16"/>
        <color theme="9" tint="-0.499984740745262"/>
        <rFont val="Calibri"/>
        <family val="2"/>
        <charset val="162"/>
        <scheme val="minor"/>
      </rPr>
      <t xml:space="preserve"> </t>
    </r>
    <r>
      <rPr>
        <b/>
        <sz val="16"/>
        <color rgb="FFFF0000"/>
        <rFont val="Calibri"/>
        <family val="2"/>
        <charset val="162"/>
        <scheme val="minor"/>
      </rPr>
      <t>;</t>
    </r>
    <r>
      <rPr>
        <sz val="12"/>
        <rFont val="Calibri"/>
        <family val="2"/>
        <charset val="162"/>
        <scheme val="minor"/>
      </rPr>
      <t xml:space="preserve"> </t>
    </r>
    <r>
      <rPr>
        <sz val="12"/>
        <color theme="9" tint="-0.499984740745262"/>
        <rFont val="Calibri"/>
        <family val="2"/>
        <charset val="162"/>
        <scheme val="minor"/>
      </rPr>
      <t>1. Koşul</t>
    </r>
    <r>
      <rPr>
        <sz val="12"/>
        <rFont val="Calibri"/>
        <family val="2"/>
        <charset val="162"/>
        <scheme val="minor"/>
      </rPr>
      <t xml:space="preserve"> </t>
    </r>
    <r>
      <rPr>
        <b/>
        <sz val="16"/>
        <color rgb="FFFF0000"/>
        <rFont val="Calibri"/>
        <family val="2"/>
        <charset val="162"/>
        <scheme val="minor"/>
      </rPr>
      <t>;</t>
    </r>
    <r>
      <rPr>
        <sz val="12"/>
        <rFont val="Calibri"/>
        <family val="2"/>
        <charset val="162"/>
        <scheme val="minor"/>
      </rPr>
      <t xml:space="preserve">
                                       </t>
    </r>
    <r>
      <rPr>
        <sz val="12"/>
        <color theme="5" tint="-0.249977111117893"/>
        <rFont val="Calibri"/>
        <family val="2"/>
        <charset val="162"/>
        <scheme val="minor"/>
      </rPr>
      <t xml:space="preserve">2. Koşulun Bulunduğu Hücreleri Tara </t>
    </r>
    <r>
      <rPr>
        <b/>
        <sz val="16"/>
        <color rgb="FFFF0000"/>
        <rFont val="Calibri"/>
        <family val="2"/>
        <charset val="162"/>
        <scheme val="minor"/>
      </rPr>
      <t>;</t>
    </r>
    <r>
      <rPr>
        <sz val="12"/>
        <rFont val="Calibri"/>
        <family val="2"/>
        <charset val="162"/>
        <scheme val="minor"/>
      </rPr>
      <t xml:space="preserve"> </t>
    </r>
    <r>
      <rPr>
        <sz val="12"/>
        <color theme="5" tint="-0.249977111117893"/>
        <rFont val="Calibri"/>
        <family val="2"/>
        <charset val="162"/>
        <scheme val="minor"/>
      </rPr>
      <t>2. Koşul</t>
    </r>
    <r>
      <rPr>
        <sz val="12"/>
        <rFont val="Calibri"/>
        <family val="2"/>
        <charset val="162"/>
        <scheme val="minor"/>
      </rPr>
      <t xml:space="preserve"> </t>
    </r>
    <r>
      <rPr>
        <b/>
        <sz val="16"/>
        <color rgb="FFFF0000"/>
        <rFont val="Calibri"/>
        <family val="2"/>
        <charset val="162"/>
        <scheme val="minor"/>
      </rPr>
      <t>;</t>
    </r>
    <r>
      <rPr>
        <sz val="12"/>
        <rFont val="Calibri"/>
        <family val="2"/>
        <charset val="162"/>
        <scheme val="minor"/>
      </rPr>
      <t xml:space="preserve">
                                       </t>
    </r>
    <r>
      <rPr>
        <sz val="12"/>
        <color theme="4" tint="-0.249977111117893"/>
        <rFont val="Calibri"/>
        <family val="2"/>
        <charset val="162"/>
        <scheme val="minor"/>
      </rPr>
      <t>3. Koşulun Bulunduğu Hücreleri Tara</t>
    </r>
    <r>
      <rPr>
        <sz val="12"/>
        <rFont val="Calibri"/>
        <family val="2"/>
        <charset val="162"/>
        <scheme val="minor"/>
      </rPr>
      <t xml:space="preserve"> </t>
    </r>
    <r>
      <rPr>
        <b/>
        <sz val="16"/>
        <color rgb="FFFF0000"/>
        <rFont val="Calibri"/>
        <family val="2"/>
        <charset val="162"/>
        <scheme val="minor"/>
      </rPr>
      <t>;</t>
    </r>
    <r>
      <rPr>
        <sz val="12"/>
        <rFont val="Calibri"/>
        <family val="2"/>
        <charset val="162"/>
        <scheme val="minor"/>
      </rPr>
      <t xml:space="preserve"> </t>
    </r>
    <r>
      <rPr>
        <sz val="12"/>
        <color theme="4" tint="-0.249977111117893"/>
        <rFont val="Calibri"/>
        <family val="2"/>
        <charset val="162"/>
        <scheme val="minor"/>
      </rPr>
      <t>3. Koşul</t>
    </r>
    <r>
      <rPr>
        <sz val="12"/>
        <rFont val="Calibri"/>
        <family val="2"/>
        <charset val="162"/>
        <scheme val="minor"/>
      </rPr>
      <t xml:space="preserve"> </t>
    </r>
    <r>
      <rPr>
        <b/>
        <sz val="16"/>
        <color theme="9" tint="-0.249977111117893"/>
        <rFont val="Calibri"/>
        <family val="2"/>
        <charset val="162"/>
        <scheme val="minor"/>
      </rPr>
      <t>)</t>
    </r>
  </si>
  <si>
    <t>HAFTALAR</t>
  </si>
  <si>
    <t>AY</t>
  </si>
  <si>
    <t>HAFTA</t>
  </si>
  <si>
    <r>
      <t>YATAYARA(P1;</t>
    </r>
    <r>
      <rPr>
        <b/>
        <sz val="16"/>
        <color rgb="FFFF0000"/>
        <rFont val="Calibri"/>
        <family val="2"/>
        <charset val="162"/>
        <scheme val="minor"/>
      </rPr>
      <t>B1:M5</t>
    </r>
    <r>
      <rPr>
        <b/>
        <sz val="16"/>
        <color theme="1"/>
        <rFont val="Calibri"/>
        <family val="2"/>
        <charset val="162"/>
        <scheme val="minor"/>
      </rPr>
      <t>;</t>
    </r>
    <r>
      <rPr>
        <b/>
        <sz val="16"/>
        <color rgb="FF00B0F0"/>
        <rFont val="Calibri"/>
        <family val="2"/>
        <charset val="162"/>
        <scheme val="minor"/>
      </rPr>
      <t>P2+1</t>
    </r>
    <r>
      <rPr>
        <b/>
        <sz val="16"/>
        <color theme="1"/>
        <rFont val="Calibri"/>
        <family val="2"/>
        <charset val="162"/>
        <scheme val="minor"/>
      </rPr>
      <t>;0)</t>
    </r>
  </si>
  <si>
    <t>KATILIMCI SAYISI</t>
  </si>
  <si>
    <t>DERNEK BAĞIŞLARI</t>
  </si>
  <si>
    <t>ADI SOYADI</t>
  </si>
  <si>
    <t>BAĞIŞ MİKTARI</t>
  </si>
  <si>
    <t>LEYLA ATEŞ</t>
  </si>
  <si>
    <t>HAŞMET KAR</t>
  </si>
  <si>
    <t>ÖZLEM KOÇ</t>
  </si>
  <si>
    <t>NURAY YAZ</t>
  </si>
  <si>
    <t>EBRU KAYA</t>
  </si>
  <si>
    <t>MEHMET DEDE</t>
  </si>
  <si>
    <t>ASİYE TAŞCI</t>
  </si>
  <si>
    <t>SEBAHAT KUŞ</t>
  </si>
  <si>
    <t>EBRU YAMAN</t>
  </si>
  <si>
    <t>Bağış Yapan Kişi Sayısı</t>
  </si>
  <si>
    <t>En Yüksek Bağış Miktarı</t>
  </si>
  <si>
    <t>En Düşük Bağış Miktarı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</si>
</sst>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4" formatCode="_-&quot;₺&quot;* #,##0.00_-;\-&quot;₺&quot;* #,##0.00_-;_-&quot;₺&quot;* &quot;-&quot;??_-;_-@_-"/>
    <numFmt numFmtId="164" formatCode="_-* #,##0.00\ &quot;₺&quot;_-;\-* #,##0.00\ &quot;₺&quot;_-;_-* &quot;-&quot;??\ &quot;₺&quot;_-;_-@_-"/>
    <numFmt numFmtId="165" formatCode="_-* #,##0.00\ &quot;TL&quot;_-;\-* #,##0.00\ &quot;TL&quot;_-;_-* &quot;-&quot;??\ &quot;TL&quot;_-;_-@_-"/>
    <numFmt numFmtId="166" formatCode="#,##0_ ;[Red]\-#,##0\ "/>
    <numFmt numFmtId="167" formatCode="_-* #,##0\ &quot;₺&quot;_-;\-* #,##0\ &quot;₺&quot;_-;_-* &quot;-&quot;??\ &quot;₺&quot;_-;_-@_-"/>
    <numFmt numFmtId="168" formatCode="_-* #,##0\ &quot;TL&quot;_-;\-* #,##0\ &quot;TL&quot;_-;_-* &quot;-&quot;??\ &quot;TL&quot;_-;_-@_-"/>
    <numFmt numFmtId="169" formatCode="_-&quot;₺&quot;* #,##0_-;\-&quot;₺&quot;* #,##0_-;_-&quot;₺&quot;* &quot;-&quot;??_-;_-@_-"/>
    <numFmt numFmtId="170" formatCode="_-* #,##0\ _T_L_-;\-* #,##0\ _T_L_-;_-* &quot;-&quot;??\ _T_L_-;_-@_-"/>
    <numFmt numFmtId="171" formatCode="_-* #,##0.00\ _T_L_-;\-* #,##0.00\ _T_L_-;_-* &quot;-&quot;??\ _T_L_-;_-@_-"/>
    <numFmt numFmtId="172" formatCode="#,##0\ &quot;TL&quot;"/>
  </numFmts>
  <fonts count="6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14"/>
      <color rgb="FFFF000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14"/>
      <color theme="4" tint="-0.249977111117893"/>
      <name val="Calibri"/>
      <family val="2"/>
      <charset val="162"/>
      <scheme val="minor"/>
    </font>
    <font>
      <sz val="11"/>
      <color theme="1" tint="0.14999847407452621"/>
      <name val="Calibri"/>
      <family val="1"/>
      <scheme val="minor"/>
    </font>
    <font>
      <sz val="10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</font>
    <font>
      <b/>
      <sz val="18"/>
      <color rgb="FFFF0000"/>
      <name val="Calibri"/>
      <family val="2"/>
      <charset val="162"/>
    </font>
    <font>
      <b/>
      <sz val="14"/>
      <color theme="3" tint="-0.24994659260841701"/>
      <name val="Arial"/>
      <family val="2"/>
      <charset val="162"/>
    </font>
    <font>
      <sz val="14"/>
      <name val="Calibri"/>
      <family val="2"/>
      <charset val="162"/>
    </font>
    <font>
      <b/>
      <sz val="16"/>
      <color rgb="FFC00000"/>
      <name val="Calibri"/>
      <family val="2"/>
      <charset val="162"/>
    </font>
    <font>
      <b/>
      <sz val="18"/>
      <color theme="1"/>
      <name val="Calibri"/>
      <family val="2"/>
      <charset val="162"/>
    </font>
    <font>
      <sz val="14"/>
      <color theme="1"/>
      <name val="Calibri"/>
      <family val="2"/>
      <charset val="162"/>
    </font>
    <font>
      <b/>
      <sz val="14"/>
      <color rgb="FF7030A0"/>
      <name val="Calibri"/>
      <family val="2"/>
      <charset val="162"/>
    </font>
    <font>
      <b/>
      <sz val="14"/>
      <color rgb="FFFF0000"/>
      <name val="Calibri"/>
      <family val="2"/>
      <charset val="162"/>
    </font>
    <font>
      <b/>
      <sz val="14"/>
      <color rgb="FF0070C0"/>
      <name val="Calibri"/>
      <family val="2"/>
      <charset val="162"/>
    </font>
    <font>
      <b/>
      <sz val="14"/>
      <color rgb="FF00B050"/>
      <name val="Calibri"/>
      <family val="2"/>
      <charset val="162"/>
    </font>
    <font>
      <b/>
      <i/>
      <sz val="16"/>
      <color theme="1"/>
      <name val="Calibri"/>
      <family val="2"/>
      <charset val="162"/>
      <scheme val="minor"/>
    </font>
    <font>
      <b/>
      <sz val="16"/>
      <color theme="0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b/>
      <i/>
      <sz val="14"/>
      <color rgb="FFFF0000"/>
      <name val="Calibri"/>
      <family val="2"/>
      <charset val="162"/>
      <scheme val="minor"/>
    </font>
    <font>
      <b/>
      <i/>
      <sz val="14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i/>
      <sz val="12"/>
      <color theme="1"/>
      <name val="Calibri"/>
      <family val="2"/>
      <charset val="162"/>
      <scheme val="minor"/>
    </font>
    <font>
      <b/>
      <i/>
      <sz val="12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14"/>
      <color theme="0"/>
      <name val="Calibri"/>
      <family val="2"/>
      <charset val="162"/>
      <scheme val="minor"/>
    </font>
    <font>
      <sz val="14"/>
      <color theme="0"/>
      <name val="Verdana"/>
      <family val="2"/>
      <charset val="162"/>
    </font>
    <font>
      <sz val="11"/>
      <color theme="1"/>
      <name val="Verdana"/>
      <family val="2"/>
      <charset val="162"/>
    </font>
    <font>
      <b/>
      <sz val="11"/>
      <color rgb="FFFF0000"/>
      <name val="Verdana"/>
      <family val="2"/>
      <charset val="162"/>
    </font>
    <font>
      <sz val="11"/>
      <name val="Verdana"/>
      <family val="2"/>
      <charset val="162"/>
    </font>
    <font>
      <sz val="12"/>
      <color theme="1"/>
      <name val="Calibri"/>
      <family val="2"/>
      <charset val="162"/>
      <scheme val="minor"/>
    </font>
    <font>
      <sz val="16"/>
      <name val="Calibri"/>
      <family val="2"/>
      <charset val="162"/>
      <scheme val="minor"/>
    </font>
    <font>
      <b/>
      <sz val="20"/>
      <color theme="9" tint="-0.249977111117893"/>
      <name val="Calibri"/>
      <family val="2"/>
      <charset val="162"/>
      <scheme val="minor"/>
    </font>
    <font>
      <sz val="16"/>
      <color theme="7" tint="-0.249977111117893"/>
      <name val="Calibri"/>
      <family val="2"/>
      <charset val="162"/>
      <scheme val="minor"/>
    </font>
    <font>
      <b/>
      <sz val="20"/>
      <color rgb="FFFF0000"/>
      <name val="Calibri"/>
      <family val="2"/>
      <charset val="162"/>
      <scheme val="minor"/>
    </font>
    <font>
      <sz val="16"/>
      <color theme="9" tint="-0.499984740745262"/>
      <name val="Calibri"/>
      <family val="2"/>
      <charset val="162"/>
      <scheme val="minor"/>
    </font>
    <font>
      <sz val="16"/>
      <color theme="5" tint="-0.249977111117893"/>
      <name val="Calibri"/>
      <family val="2"/>
      <charset val="162"/>
      <scheme val="minor"/>
    </font>
    <font>
      <sz val="16"/>
      <color theme="4" tint="-0.249977111117893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b/>
      <sz val="16"/>
      <color theme="9" tint="-0.249977111117893"/>
      <name val="Calibri"/>
      <family val="2"/>
      <charset val="162"/>
      <scheme val="minor"/>
    </font>
    <font>
      <sz val="12"/>
      <color theme="7" tint="-0.249977111117893"/>
      <name val="Calibri"/>
      <family val="2"/>
      <charset val="162"/>
      <scheme val="minor"/>
    </font>
    <font>
      <b/>
      <sz val="16"/>
      <color rgb="FFFF0000"/>
      <name val="Calibri"/>
      <family val="2"/>
      <charset val="162"/>
      <scheme val="minor"/>
    </font>
    <font>
      <sz val="12"/>
      <color theme="9" tint="-0.499984740745262"/>
      <name val="Calibri"/>
      <family val="2"/>
      <charset val="162"/>
      <scheme val="minor"/>
    </font>
    <font>
      <b/>
      <sz val="16"/>
      <color theme="9" tint="-0.499984740745262"/>
      <name val="Calibri"/>
      <family val="2"/>
      <charset val="162"/>
      <scheme val="minor"/>
    </font>
    <font>
      <sz val="12"/>
      <color theme="5" tint="-0.249977111117893"/>
      <name val="Calibri"/>
      <family val="2"/>
      <charset val="162"/>
      <scheme val="minor"/>
    </font>
    <font>
      <sz val="12"/>
      <color theme="4" tint="-0.249977111117893"/>
      <name val="Calibri"/>
      <family val="2"/>
      <charset val="162"/>
      <scheme val="minor"/>
    </font>
    <font>
      <b/>
      <sz val="11"/>
      <color rgb="FF454545"/>
      <name val="Arial"/>
      <family val="2"/>
      <charset val="162"/>
    </font>
    <font>
      <b/>
      <sz val="14"/>
      <color rgb="FFFA7D00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11"/>
      <color theme="1" tint="4.9989318521683403E-2"/>
      <name val="Arial"/>
      <family val="2"/>
      <charset val="162"/>
    </font>
    <font>
      <b/>
      <sz val="14"/>
      <color rgb="FF00B0F0"/>
      <name val="Calibri"/>
      <family val="2"/>
      <charset val="162"/>
      <scheme val="minor"/>
    </font>
    <font>
      <b/>
      <sz val="16"/>
      <color rgb="FF00B0F0"/>
      <name val="Calibri"/>
      <family val="2"/>
      <charset val="162"/>
      <scheme val="minor"/>
    </font>
    <font>
      <b/>
      <sz val="14"/>
      <color theme="6" tint="-0.249977111117893"/>
      <name val="Calibri"/>
      <family val="2"/>
      <charset val="162"/>
      <scheme val="minor"/>
    </font>
    <font>
      <sz val="10"/>
      <name val="Arial"/>
      <charset val="162"/>
    </font>
    <font>
      <b/>
      <sz val="10"/>
      <color indexed="9"/>
      <name val="Arial"/>
      <family val="2"/>
      <charset val="162"/>
    </font>
    <font>
      <b/>
      <sz val="10"/>
      <name val="Arial"/>
      <family val="2"/>
      <charset val="162"/>
    </font>
    <font>
      <sz val="10"/>
      <name val="Arial"/>
      <family val="2"/>
      <charset val="162"/>
    </font>
  </fonts>
  <fills count="1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-9.9978637043366805E-2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20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4" fillId="6" borderId="6"/>
    <xf numFmtId="171" fontId="1" fillId="0" borderId="0" applyFont="0" applyFill="0" applyBorder="0" applyAlignment="0" applyProtection="0"/>
    <xf numFmtId="0" fontId="62" fillId="0" borderId="0"/>
  </cellStyleXfs>
  <cellXfs count="120">
    <xf numFmtId="0" fontId="0" fillId="0" borderId="0" xfId="0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center" vertical="center"/>
    </xf>
    <xf numFmtId="164" fontId="8" fillId="0" borderId="6" xfId="4" applyFont="1" applyBorder="1" applyAlignment="1">
      <alignment horizontal="center" vertical="center"/>
    </xf>
    <xf numFmtId="9" fontId="8" fillId="0" borderId="7" xfId="2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indent="1"/>
    </xf>
    <xf numFmtId="0" fontId="8" fillId="0" borderId="9" xfId="0" applyFont="1" applyBorder="1" applyAlignment="1">
      <alignment horizontal="center" vertical="center"/>
    </xf>
    <xf numFmtId="164" fontId="8" fillId="0" borderId="9" xfId="4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/>
    <xf numFmtId="0" fontId="8" fillId="0" borderId="7" xfId="0" applyFont="1" applyBorder="1"/>
    <xf numFmtId="0" fontId="8" fillId="0" borderId="0" xfId="0" applyFont="1"/>
    <xf numFmtId="0" fontId="10" fillId="3" borderId="0" xfId="0" applyFont="1" applyFill="1" applyAlignment="1">
      <alignment horizontal="center"/>
    </xf>
    <xf numFmtId="0" fontId="10" fillId="3" borderId="0" xfId="0" applyFont="1" applyFill="1"/>
    <xf numFmtId="165" fontId="10" fillId="3" borderId="0" xfId="5" applyFont="1" applyFill="1"/>
    <xf numFmtId="0" fontId="11" fillId="0" borderId="0" xfId="0" applyFont="1" applyAlignment="1">
      <alignment horizontal="center"/>
    </xf>
    <xf numFmtId="0" fontId="11" fillId="0" borderId="0" xfId="0" applyFont="1"/>
    <xf numFmtId="14" fontId="11" fillId="0" borderId="0" xfId="0" applyNumberFormat="1" applyFont="1"/>
    <xf numFmtId="165" fontId="0" fillId="0" borderId="0" xfId="5" applyFont="1" applyFill="1"/>
    <xf numFmtId="4" fontId="11" fillId="0" borderId="0" xfId="0" applyNumberFormat="1" applyFont="1"/>
    <xf numFmtId="14" fontId="0" fillId="0" borderId="0" xfId="0" applyNumberFormat="1"/>
    <xf numFmtId="165" fontId="11" fillId="0" borderId="0" xfId="5" applyFont="1" applyFill="1"/>
    <xf numFmtId="0" fontId="0" fillId="0" borderId="0" xfId="0" applyAlignment="1">
      <alignment horizontal="center"/>
    </xf>
    <xf numFmtId="0" fontId="12" fillId="4" borderId="6" xfId="0" applyFont="1" applyFill="1" applyBorder="1" applyAlignment="1">
      <alignment vertical="center"/>
    </xf>
    <xf numFmtId="0" fontId="13" fillId="5" borderId="6" xfId="0" applyFont="1" applyFill="1" applyBorder="1" applyAlignment="1">
      <alignment horizontal="left" vertical="center"/>
    </xf>
    <xf numFmtId="0" fontId="5" fillId="0" borderId="0" xfId="0" applyFont="1"/>
    <xf numFmtId="166" fontId="15" fillId="4" borderId="6" xfId="6" applyFont="1" applyFill="1"/>
    <xf numFmtId="166" fontId="15" fillId="4" borderId="6" xfId="6" applyFont="1" applyFill="1" applyAlignment="1">
      <alignment horizontal="center"/>
    </xf>
    <xf numFmtId="166" fontId="15" fillId="7" borderId="6" xfId="6" applyFont="1" applyFill="1" applyAlignment="1">
      <alignment horizontal="left" vertical="center"/>
    </xf>
    <xf numFmtId="0" fontId="16" fillId="8" borderId="6" xfId="0" applyFont="1" applyFill="1" applyBorder="1" applyAlignment="1">
      <alignment horizontal="center" vertical="center"/>
    </xf>
    <xf numFmtId="0" fontId="17" fillId="0" borderId="0" xfId="0" applyFont="1"/>
    <xf numFmtId="0" fontId="18" fillId="5" borderId="6" xfId="0" applyFont="1" applyFill="1" applyBorder="1" applyAlignment="1">
      <alignment vertical="center" wrapText="1"/>
    </xf>
    <xf numFmtId="0" fontId="12" fillId="5" borderId="6" xfId="0" quotePrefix="1" applyFont="1" applyFill="1" applyBorder="1" applyAlignment="1">
      <alignment vertical="center"/>
    </xf>
    <xf numFmtId="0" fontId="18" fillId="5" borderId="6" xfId="0" quotePrefix="1" applyFont="1" applyFill="1" applyBorder="1" applyAlignment="1">
      <alignment vertical="center" wrapText="1"/>
    </xf>
    <xf numFmtId="167" fontId="23" fillId="0" borderId="6" xfId="4" applyNumberFormat="1" applyFont="1" applyBorder="1"/>
    <xf numFmtId="0" fontId="24" fillId="9" borderId="6" xfId="0" applyFont="1" applyFill="1" applyBorder="1" applyAlignment="1">
      <alignment horizontal="center"/>
    </xf>
    <xf numFmtId="167" fontId="24" fillId="9" borderId="6" xfId="4" applyNumberFormat="1" applyFont="1" applyFill="1" applyBorder="1" applyAlignment="1">
      <alignment horizontal="center"/>
    </xf>
    <xf numFmtId="0" fontId="25" fillId="0" borderId="6" xfId="0" applyFont="1" applyBorder="1"/>
    <xf numFmtId="167" fontId="25" fillId="0" borderId="6" xfId="4" applyNumberFormat="1" applyFont="1" applyBorder="1"/>
    <xf numFmtId="167" fontId="0" fillId="0" borderId="0" xfId="0" applyNumberFormat="1"/>
    <xf numFmtId="167" fontId="0" fillId="0" borderId="0" xfId="4" applyNumberFormat="1" applyFont="1"/>
    <xf numFmtId="0" fontId="0" fillId="0" borderId="6" xfId="0" applyBorder="1"/>
    <xf numFmtId="168" fontId="3" fillId="10" borderId="6" xfId="5" applyNumberFormat="1" applyFont="1" applyFill="1" applyBorder="1"/>
    <xf numFmtId="165" fontId="3" fillId="10" borderId="6" xfId="5" applyFont="1" applyFill="1" applyBorder="1"/>
    <xf numFmtId="0" fontId="26" fillId="0" borderId="0" xfId="0" applyFont="1"/>
    <xf numFmtId="0" fontId="8" fillId="0" borderId="0" xfId="0" quotePrefix="1" applyFont="1"/>
    <xf numFmtId="168" fontId="0" fillId="0" borderId="0" xfId="0" applyNumberFormat="1"/>
    <xf numFmtId="0" fontId="7" fillId="0" borderId="0" xfId="0" applyFont="1" applyAlignment="1">
      <alignment horizontal="center"/>
    </xf>
    <xf numFmtId="0" fontId="27" fillId="0" borderId="0" xfId="0" applyFont="1"/>
    <xf numFmtId="169" fontId="0" fillId="0" borderId="0" xfId="1" applyNumberFormat="1" applyFont="1"/>
    <xf numFmtId="0" fontId="28" fillId="11" borderId="0" xfId="0" applyFont="1" applyFill="1"/>
    <xf numFmtId="14" fontId="28" fillId="11" borderId="0" xfId="0" applyNumberFormat="1" applyFont="1" applyFill="1"/>
    <xf numFmtId="169" fontId="28" fillId="11" borderId="0" xfId="1" applyNumberFormat="1" applyFont="1" applyFill="1" applyBorder="1"/>
    <xf numFmtId="14" fontId="29" fillId="0" borderId="0" xfId="0" applyNumberFormat="1" applyFont="1"/>
    <xf numFmtId="0" fontId="29" fillId="0" borderId="0" xfId="0" applyFont="1"/>
    <xf numFmtId="169" fontId="29" fillId="0" borderId="0" xfId="1" applyNumberFormat="1" applyFont="1" applyFill="1" applyBorder="1"/>
    <xf numFmtId="170" fontId="0" fillId="0" borderId="0" xfId="0" applyNumberFormat="1"/>
    <xf numFmtId="169" fontId="0" fillId="0" borderId="0" xfId="1" applyNumberFormat="1" applyFont="1" applyFill="1" applyBorder="1"/>
    <xf numFmtId="0" fontId="0" fillId="0" borderId="0" xfId="0" applyAlignment="1">
      <alignment horizontal="right"/>
    </xf>
    <xf numFmtId="44" fontId="3" fillId="0" borderId="0" xfId="1" applyFont="1"/>
    <xf numFmtId="171" fontId="3" fillId="0" borderId="0" xfId="7" applyFont="1"/>
    <xf numFmtId="171" fontId="0" fillId="0" borderId="0" xfId="7" applyFont="1"/>
    <xf numFmtId="0" fontId="30" fillId="10" borderId="0" xfId="0" applyFont="1" applyFill="1"/>
    <xf numFmtId="0" fontId="24" fillId="12" borderId="6" xfId="0" applyFont="1" applyFill="1" applyBorder="1"/>
    <xf numFmtId="0" fontId="0" fillId="13" borderId="6" xfId="0" applyFill="1" applyBorder="1"/>
    <xf numFmtId="0" fontId="3" fillId="14" borderId="6" xfId="0" applyFont="1" applyFill="1" applyBorder="1"/>
    <xf numFmtId="0" fontId="31" fillId="10" borderId="6" xfId="0" applyFont="1" applyFill="1" applyBorder="1"/>
    <xf numFmtId="0" fontId="32" fillId="10" borderId="6" xfId="0" applyFont="1" applyFill="1" applyBorder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4" fillId="15" borderId="6" xfId="0" applyFont="1" applyFill="1" applyBorder="1" applyAlignment="1">
      <alignment horizontal="center" vertical="center"/>
    </xf>
    <xf numFmtId="0" fontId="35" fillId="15" borderId="6" xfId="0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36" fillId="0" borderId="6" xfId="0" applyFont="1" applyBorder="1" applyAlignment="1">
      <alignment horizontal="left" vertical="center" wrapText="1" indent="1"/>
    </xf>
    <xf numFmtId="0" fontId="36" fillId="0" borderId="6" xfId="0" applyFont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/>
    </xf>
    <xf numFmtId="49" fontId="28" fillId="15" borderId="6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8" fillId="0" borderId="6" xfId="0" applyFont="1" applyBorder="1" applyAlignment="1">
      <alignment horizontal="left" vertical="center" wrapText="1" indent="1"/>
    </xf>
    <xf numFmtId="0" fontId="38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39" fillId="0" borderId="0" xfId="0" applyNumberFormat="1" applyFont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55" fillId="16" borderId="6" xfId="0" applyFont="1" applyFill="1" applyBorder="1" applyAlignment="1">
      <alignment horizontal="center" vertical="center" wrapText="1"/>
    </xf>
    <xf numFmtId="0" fontId="56" fillId="2" borderId="1" xfId="3" applyFont="1" applyAlignment="1">
      <alignment horizontal="right" vertical="center"/>
    </xf>
    <xf numFmtId="0" fontId="57" fillId="2" borderId="1" xfId="3" applyFont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58" fillId="0" borderId="6" xfId="0" applyFont="1" applyFill="1" applyBorder="1" applyAlignment="1">
      <alignment horizontal="center" vertical="center" wrapText="1"/>
    </xf>
    <xf numFmtId="0" fontId="59" fillId="2" borderId="1" xfId="3" applyFont="1" applyAlignment="1">
      <alignment horizontal="center" vertical="center" wrapText="1"/>
    </xf>
    <xf numFmtId="0" fontId="61" fillId="2" borderId="1" xfId="3" applyFont="1" applyAlignment="1">
      <alignment horizontal="center" vertical="center"/>
    </xf>
    <xf numFmtId="0" fontId="61" fillId="2" borderId="1" xfId="3" applyFont="1" applyAlignment="1">
      <alignment horizontal="center" vertical="center" wrapText="1"/>
    </xf>
    <xf numFmtId="0" fontId="0" fillId="0" borderId="0" xfId="0" quotePrefix="1" applyAlignment="1">
      <alignment horizontal="center"/>
    </xf>
    <xf numFmtId="0" fontId="62" fillId="0" borderId="0" xfId="8"/>
    <xf numFmtId="0" fontId="64" fillId="0" borderId="0" xfId="8" applyFont="1"/>
    <xf numFmtId="0" fontId="64" fillId="0" borderId="0" xfId="8" applyFont="1" applyAlignment="1"/>
    <xf numFmtId="0" fontId="65" fillId="0" borderId="0" xfId="8" applyFont="1"/>
    <xf numFmtId="172" fontId="62" fillId="0" borderId="0" xfId="8" applyNumberFormat="1" applyAlignment="1"/>
    <xf numFmtId="0" fontId="63" fillId="17" borderId="15" xfId="8" applyFont="1" applyFill="1" applyBorder="1"/>
    <xf numFmtId="0" fontId="63" fillId="17" borderId="0" xfId="8" applyFont="1" applyFill="1" applyAlignment="1">
      <alignment horizontal="center"/>
    </xf>
    <xf numFmtId="0" fontId="33" fillId="0" borderId="13" xfId="0" applyFont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47" fillId="0" borderId="14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24" fillId="12" borderId="0" xfId="0" applyFont="1" applyFill="1" applyAlignment="1">
      <alignment horizontal="center"/>
    </xf>
    <xf numFmtId="0" fontId="24" fillId="12" borderId="10" xfId="0" applyFont="1" applyFill="1" applyBorder="1" applyAlignment="1">
      <alignment horizontal="center"/>
    </xf>
    <xf numFmtId="0" fontId="24" fillId="12" borderId="11" xfId="0" applyFont="1" applyFill="1" applyBorder="1" applyAlignment="1">
      <alignment horizontal="center"/>
    </xf>
    <xf numFmtId="0" fontId="24" fillId="12" borderId="12" xfId="0" applyFont="1" applyFill="1" applyBorder="1" applyAlignment="1">
      <alignment horizontal="center"/>
    </xf>
    <xf numFmtId="0" fontId="9" fillId="0" borderId="2" xfId="0" applyFont="1" applyBorder="1" applyAlignment="1">
      <alignment horizontal="left" vertical="center" indent="1"/>
    </xf>
    <xf numFmtId="0" fontId="9" fillId="0" borderId="3" xfId="0" applyFont="1" applyBorder="1" applyAlignment="1">
      <alignment horizontal="left" vertical="center" indent="1"/>
    </xf>
    <xf numFmtId="0" fontId="9" fillId="0" borderId="5" xfId="0" applyFont="1" applyBorder="1" applyAlignment="1">
      <alignment horizontal="left" vertical="center" indent="1"/>
    </xf>
    <xf numFmtId="0" fontId="9" fillId="0" borderId="6" xfId="0" applyFont="1" applyBorder="1" applyAlignment="1">
      <alignment horizontal="left" vertical="center" indent="1"/>
    </xf>
    <xf numFmtId="0" fontId="9" fillId="0" borderId="8" xfId="0" applyFont="1" applyBorder="1" applyAlignment="1">
      <alignment horizontal="left" vertical="center" indent="1"/>
    </xf>
    <xf numFmtId="0" fontId="9" fillId="0" borderId="9" xfId="0" applyFont="1" applyBorder="1" applyAlignment="1">
      <alignment horizontal="left" vertical="center" indent="1"/>
    </xf>
  </cellXfs>
  <cellStyles count="9">
    <cellStyle name="AHMET" xfId="6"/>
    <cellStyle name="Hesaplama" xfId="3" builtinId="22"/>
    <cellStyle name="Normal" xfId="0" builtinId="0"/>
    <cellStyle name="Normal 2" xfId="8"/>
    <cellStyle name="ParaBirimi" xfId="1" builtinId="4"/>
    <cellStyle name="ParaBirimi 2" xfId="4"/>
    <cellStyle name="ParaBirimi 3" xfId="5"/>
    <cellStyle name="Virgül 2" xfId="7"/>
    <cellStyle name="Yüzd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281940</xdr:colOff>
      <xdr:row>0</xdr:row>
      <xdr:rowOff>144780</xdr:rowOff>
    </xdr:from>
    <xdr:to>
      <xdr:col>13</xdr:col>
      <xdr:colOff>145349</xdr:colOff>
      <xdr:row>21</xdr:row>
      <xdr:rowOff>15562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1140" y="144780"/>
          <a:ext cx="6569009" cy="37112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238125</xdr:colOff>
      <xdr:row>0</xdr:row>
      <xdr:rowOff>222885</xdr:rowOff>
    </xdr:from>
    <xdr:to>
      <xdr:col>13</xdr:col>
      <xdr:colOff>177852</xdr:colOff>
      <xdr:row>12</xdr:row>
      <xdr:rowOff>118521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8485" y="222885"/>
          <a:ext cx="5007027" cy="2928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781050</xdr:colOff>
      <xdr:row>3</xdr:row>
      <xdr:rowOff>9525</xdr:rowOff>
    </xdr:from>
    <xdr:to>
      <xdr:col>12</xdr:col>
      <xdr:colOff>628964</xdr:colOff>
      <xdr:row>5</xdr:row>
      <xdr:rowOff>66736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A5E45EE6-148B-4C27-B189-67AD5E614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62310" y="558165"/>
          <a:ext cx="2316794" cy="4229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209550</xdr:colOff>
      <xdr:row>14</xdr:row>
      <xdr:rowOff>216106</xdr:rowOff>
    </xdr:from>
    <xdr:to>
      <xdr:col>10</xdr:col>
      <xdr:colOff>440691</xdr:colOff>
      <xdr:row>20</xdr:row>
      <xdr:rowOff>180975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9210" y="3424126"/>
          <a:ext cx="1450341" cy="135170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781050</xdr:colOff>
      <xdr:row>3</xdr:row>
      <xdr:rowOff>9525</xdr:rowOff>
    </xdr:from>
    <xdr:to>
      <xdr:col>12</xdr:col>
      <xdr:colOff>628964</xdr:colOff>
      <xdr:row>5</xdr:row>
      <xdr:rowOff>66736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A5E45EE6-148B-4C27-B189-67AD5E614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62310" y="558165"/>
          <a:ext cx="2316794" cy="4229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zoomScale="130" zoomScaleNormal="130" workbookViewId="0">
      <selection activeCell="O6" sqref="O6"/>
    </sheetView>
  </sheetViews>
  <sheetFormatPr defaultRowHeight="14.4" x14ac:dyDescent="0.3"/>
  <cols>
    <col min="1" max="1" width="10.109375" bestFit="1" customWidth="1"/>
    <col min="14" max="14" width="4.5546875" customWidth="1"/>
    <col min="15" max="15" width="20.88671875" bestFit="1" customWidth="1"/>
  </cols>
  <sheetData>
    <row r="1" spans="1:16" ht="21" x14ac:dyDescent="0.3">
      <c r="A1" s="88" t="s">
        <v>1194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O1" s="90" t="s">
        <v>1195</v>
      </c>
      <c r="P1" s="91"/>
    </row>
    <row r="2" spans="1:16" ht="18" x14ac:dyDescent="0.3">
      <c r="A2" s="92">
        <v>1</v>
      </c>
      <c r="B2" s="93">
        <v>4</v>
      </c>
      <c r="C2" s="93">
        <v>4</v>
      </c>
      <c r="D2" s="93">
        <v>9</v>
      </c>
      <c r="E2" s="93">
        <v>15</v>
      </c>
      <c r="F2" s="93">
        <v>4</v>
      </c>
      <c r="G2" s="93">
        <v>5</v>
      </c>
      <c r="H2" s="93">
        <v>6</v>
      </c>
      <c r="I2" s="93">
        <v>9</v>
      </c>
      <c r="J2" s="93">
        <v>8</v>
      </c>
      <c r="K2" s="93">
        <v>15</v>
      </c>
      <c r="L2" s="93">
        <v>26</v>
      </c>
      <c r="M2" s="93">
        <v>34</v>
      </c>
      <c r="O2" s="90" t="s">
        <v>1196</v>
      </c>
      <c r="P2" s="94"/>
    </row>
    <row r="3" spans="1:16" ht="21" x14ac:dyDescent="0.4">
      <c r="A3" s="92">
        <v>2</v>
      </c>
      <c r="B3" s="93">
        <v>5</v>
      </c>
      <c r="C3" s="93">
        <v>7</v>
      </c>
      <c r="D3" s="93">
        <v>10</v>
      </c>
      <c r="E3" s="93">
        <v>5</v>
      </c>
      <c r="F3" s="93">
        <v>19</v>
      </c>
      <c r="G3" s="93">
        <v>25</v>
      </c>
      <c r="H3" s="93">
        <v>17</v>
      </c>
      <c r="I3" s="93">
        <v>18</v>
      </c>
      <c r="J3" s="93">
        <v>25</v>
      </c>
      <c r="K3" s="93">
        <v>9</v>
      </c>
      <c r="L3" s="93">
        <v>8</v>
      </c>
      <c r="M3" s="93">
        <v>12</v>
      </c>
      <c r="O3" s="67" t="s">
        <v>1197</v>
      </c>
      <c r="P3" s="16"/>
    </row>
    <row r="4" spans="1:16" ht="18" x14ac:dyDescent="0.3">
      <c r="A4" s="92">
        <v>3</v>
      </c>
      <c r="B4" s="93">
        <v>6</v>
      </c>
      <c r="C4" s="93">
        <v>8</v>
      </c>
      <c r="D4" s="93">
        <v>11</v>
      </c>
      <c r="E4" s="93">
        <v>2</v>
      </c>
      <c r="F4" s="93">
        <v>7</v>
      </c>
      <c r="G4" s="93">
        <v>9</v>
      </c>
      <c r="H4" s="93">
        <v>12</v>
      </c>
      <c r="I4" s="93">
        <v>16</v>
      </c>
      <c r="J4" s="93">
        <v>7</v>
      </c>
      <c r="K4" s="93">
        <v>9</v>
      </c>
      <c r="L4" s="93">
        <v>13</v>
      </c>
      <c r="M4" s="93">
        <v>13</v>
      </c>
      <c r="O4" s="95" t="s">
        <v>1198</v>
      </c>
      <c r="P4" s="96"/>
    </row>
    <row r="5" spans="1:16" x14ac:dyDescent="0.3">
      <c r="A5" s="92">
        <v>4</v>
      </c>
      <c r="B5" s="93">
        <v>5</v>
      </c>
      <c r="C5" s="93">
        <v>4</v>
      </c>
      <c r="D5" s="93">
        <v>8</v>
      </c>
      <c r="E5" s="93">
        <v>9</v>
      </c>
      <c r="F5" s="93">
        <v>15</v>
      </c>
      <c r="G5" s="93">
        <v>25</v>
      </c>
      <c r="H5" s="93">
        <v>3</v>
      </c>
      <c r="I5" s="93">
        <v>6</v>
      </c>
      <c r="J5" s="93">
        <v>8</v>
      </c>
      <c r="K5" s="93">
        <v>7</v>
      </c>
      <c r="L5" s="93">
        <v>7</v>
      </c>
      <c r="M5" s="93">
        <v>9</v>
      </c>
      <c r="O5" s="9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E7" sqref="E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4"/>
  </sheetPr>
  <dimension ref="A1:B14"/>
  <sheetViews>
    <sheetView workbookViewId="0">
      <selection activeCell="B13" sqref="B13"/>
    </sheetView>
  </sheetViews>
  <sheetFormatPr defaultRowHeight="13.2" x14ac:dyDescent="0.25"/>
  <cols>
    <col min="1" max="1" width="22.88671875" style="98" bestFit="1" customWidth="1"/>
    <col min="2" max="2" width="23.88671875" style="98" customWidth="1"/>
    <col min="3" max="16384" width="8.88671875" style="98"/>
  </cols>
  <sheetData>
    <row r="1" spans="1:2" ht="16.5" customHeight="1" x14ac:dyDescent="0.25">
      <c r="A1" s="104" t="s">
        <v>1199</v>
      </c>
      <c r="B1" s="104"/>
    </row>
    <row r="2" spans="1:2" ht="16.5" customHeight="1" x14ac:dyDescent="0.25">
      <c r="A2" s="99" t="s">
        <v>1200</v>
      </c>
      <c r="B2" s="100" t="s">
        <v>1201</v>
      </c>
    </row>
    <row r="3" spans="1:2" ht="16.5" customHeight="1" x14ac:dyDescent="0.25">
      <c r="A3" s="101" t="s">
        <v>1202</v>
      </c>
      <c r="B3" s="102">
        <v>12345400</v>
      </c>
    </row>
    <row r="4" spans="1:2" ht="16.5" customHeight="1" x14ac:dyDescent="0.25">
      <c r="A4" s="101" t="s">
        <v>1203</v>
      </c>
      <c r="B4" s="102">
        <v>56456000</v>
      </c>
    </row>
    <row r="5" spans="1:2" ht="16.5" customHeight="1" x14ac:dyDescent="0.25">
      <c r="A5" s="101" t="s">
        <v>1204</v>
      </c>
      <c r="B5" s="102">
        <v>5454000</v>
      </c>
    </row>
    <row r="6" spans="1:2" ht="16.5" customHeight="1" x14ac:dyDescent="0.25">
      <c r="A6" s="101" t="s">
        <v>1205</v>
      </c>
      <c r="B6" s="102"/>
    </row>
    <row r="7" spans="1:2" ht="16.5" customHeight="1" x14ac:dyDescent="0.25">
      <c r="A7" s="101" t="s">
        <v>1206</v>
      </c>
      <c r="B7" s="102">
        <v>5754000</v>
      </c>
    </row>
    <row r="8" spans="1:2" ht="16.5" customHeight="1" x14ac:dyDescent="0.25">
      <c r="A8" s="101" t="s">
        <v>1207</v>
      </c>
      <c r="B8" s="102"/>
    </row>
    <row r="9" spans="1:2" ht="16.5" customHeight="1" x14ac:dyDescent="0.25">
      <c r="A9" s="101" t="s">
        <v>1208</v>
      </c>
      <c r="B9" s="102">
        <v>640000</v>
      </c>
    </row>
    <row r="10" spans="1:2" ht="16.5" customHeight="1" x14ac:dyDescent="0.25">
      <c r="A10" s="101" t="s">
        <v>1209</v>
      </c>
      <c r="B10" s="102"/>
    </row>
    <row r="11" spans="1:2" ht="16.5" customHeight="1" x14ac:dyDescent="0.25">
      <c r="A11" s="101" t="s">
        <v>1210</v>
      </c>
      <c r="B11" s="102">
        <v>6560000</v>
      </c>
    </row>
    <row r="12" spans="1:2" ht="16.5" customHeight="1" x14ac:dyDescent="0.25">
      <c r="A12" s="103" t="s">
        <v>1211</v>
      </c>
      <c r="B12" s="103"/>
    </row>
    <row r="13" spans="1:2" ht="16.5" customHeight="1" x14ac:dyDescent="0.25">
      <c r="A13" s="103" t="s">
        <v>1212</v>
      </c>
      <c r="B13" s="103"/>
    </row>
    <row r="14" spans="1:2" ht="16.5" customHeight="1" x14ac:dyDescent="0.25">
      <c r="A14" s="103" t="s">
        <v>1213</v>
      </c>
      <c r="B14" s="103"/>
    </row>
  </sheetData>
  <mergeCells count="1">
    <mergeCell ref="A1:B1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zoomScale="130" zoomScaleNormal="130" workbookViewId="0">
      <selection activeCell="O6" sqref="O6"/>
    </sheetView>
  </sheetViews>
  <sheetFormatPr defaultRowHeight="14.4" x14ac:dyDescent="0.3"/>
  <cols>
    <col min="1" max="1" width="10.109375" bestFit="1" customWidth="1"/>
    <col min="14" max="14" width="4.5546875" customWidth="1"/>
    <col min="15" max="15" width="20.88671875" bestFit="1" customWidth="1"/>
  </cols>
  <sheetData>
    <row r="1" spans="1:16" ht="21" x14ac:dyDescent="0.3">
      <c r="A1" s="88" t="s">
        <v>1194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O1" s="90" t="s">
        <v>1195</v>
      </c>
      <c r="P1" s="91"/>
    </row>
    <row r="2" spans="1:16" ht="18" x14ac:dyDescent="0.3">
      <c r="A2" s="92">
        <v>1</v>
      </c>
      <c r="B2" s="93">
        <v>4</v>
      </c>
      <c r="C2" s="93">
        <v>4</v>
      </c>
      <c r="D2" s="93">
        <v>9</v>
      </c>
      <c r="E2" s="93">
        <v>15</v>
      </c>
      <c r="F2" s="93">
        <v>4</v>
      </c>
      <c r="G2" s="93">
        <v>5</v>
      </c>
      <c r="H2" s="93">
        <v>6</v>
      </c>
      <c r="I2" s="93">
        <v>9</v>
      </c>
      <c r="J2" s="93">
        <v>8</v>
      </c>
      <c r="K2" s="93">
        <v>15</v>
      </c>
      <c r="L2" s="93">
        <v>26</v>
      </c>
      <c r="M2" s="93">
        <v>34</v>
      </c>
      <c r="O2" s="90" t="s">
        <v>1196</v>
      </c>
      <c r="P2" s="94"/>
    </row>
    <row r="3" spans="1:16" ht="21" x14ac:dyDescent="0.4">
      <c r="A3" s="92">
        <v>2</v>
      </c>
      <c r="B3" s="93">
        <v>5</v>
      </c>
      <c r="C3" s="93">
        <v>7</v>
      </c>
      <c r="D3" s="93">
        <v>10</v>
      </c>
      <c r="E3" s="93">
        <v>5</v>
      </c>
      <c r="F3" s="93">
        <v>19</v>
      </c>
      <c r="G3" s="93">
        <v>25</v>
      </c>
      <c r="H3" s="93">
        <v>17</v>
      </c>
      <c r="I3" s="93">
        <v>18</v>
      </c>
      <c r="J3" s="93">
        <v>25</v>
      </c>
      <c r="K3" s="93">
        <v>9</v>
      </c>
      <c r="L3" s="93">
        <v>8</v>
      </c>
      <c r="M3" s="93">
        <v>12</v>
      </c>
      <c r="O3" s="67" t="s">
        <v>1197</v>
      </c>
      <c r="P3" s="16"/>
    </row>
    <row r="4" spans="1:16" ht="18" x14ac:dyDescent="0.3">
      <c r="A4" s="92">
        <v>3</v>
      </c>
      <c r="B4" s="93">
        <v>6</v>
      </c>
      <c r="C4" s="93">
        <v>8</v>
      </c>
      <c r="D4" s="93">
        <v>11</v>
      </c>
      <c r="E4" s="93">
        <v>2</v>
      </c>
      <c r="F4" s="93">
        <v>7</v>
      </c>
      <c r="G4" s="93">
        <v>9</v>
      </c>
      <c r="H4" s="93">
        <v>12</v>
      </c>
      <c r="I4" s="93">
        <v>16</v>
      </c>
      <c r="J4" s="93">
        <v>7</v>
      </c>
      <c r="K4" s="93">
        <v>9</v>
      </c>
      <c r="L4" s="93">
        <v>13</v>
      </c>
      <c r="M4" s="93">
        <v>13</v>
      </c>
      <c r="O4" s="95" t="s">
        <v>1198</v>
      </c>
      <c r="P4" s="96"/>
    </row>
    <row r="5" spans="1:16" x14ac:dyDescent="0.3">
      <c r="A5" s="92">
        <v>4</v>
      </c>
      <c r="B5" s="93">
        <v>5</v>
      </c>
      <c r="C5" s="93">
        <v>4</v>
      </c>
      <c r="D5" s="93">
        <v>8</v>
      </c>
      <c r="E5" s="93">
        <v>9</v>
      </c>
      <c r="F5" s="93">
        <v>15</v>
      </c>
      <c r="G5" s="93">
        <v>25</v>
      </c>
      <c r="H5" s="93">
        <v>3</v>
      </c>
      <c r="I5" s="93">
        <v>6</v>
      </c>
      <c r="J5" s="93">
        <v>8</v>
      </c>
      <c r="K5" s="93">
        <v>7</v>
      </c>
      <c r="L5" s="93">
        <v>7</v>
      </c>
      <c r="M5" s="93">
        <v>9</v>
      </c>
      <c r="O5" s="97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zoomScale="130" zoomScaleNormal="130" workbookViewId="0">
      <selection activeCell="I6" sqref="I6"/>
    </sheetView>
  </sheetViews>
  <sheetFormatPr defaultColWidth="10.33203125" defaultRowHeight="14.4" x14ac:dyDescent="0.3"/>
  <cols>
    <col min="1" max="1" width="12.5546875" style="73" customWidth="1"/>
    <col min="2" max="2" width="9.33203125" style="73" customWidth="1"/>
    <col min="3" max="3" width="10.109375" style="73" customWidth="1"/>
    <col min="4" max="4" width="13.33203125" style="73" customWidth="1"/>
    <col min="5" max="5" width="18.88671875" style="73" bestFit="1" customWidth="1"/>
    <col min="6" max="6" width="10.33203125" style="74"/>
    <col min="7" max="16384" width="10.33203125" style="73"/>
  </cols>
  <sheetData>
    <row r="1" spans="1:11" ht="31.5" customHeight="1" x14ac:dyDescent="0.3">
      <c r="G1" s="105" t="s">
        <v>1169</v>
      </c>
      <c r="H1" s="106"/>
      <c r="I1" s="106"/>
    </row>
    <row r="2" spans="1:11" s="13" customFormat="1" ht="18" x14ac:dyDescent="0.3">
      <c r="A2" s="75" t="s">
        <v>1170</v>
      </c>
      <c r="B2" s="75" t="s">
        <v>1171</v>
      </c>
      <c r="C2" s="75" t="s">
        <v>1172</v>
      </c>
      <c r="D2" s="75" t="s">
        <v>1173</v>
      </c>
      <c r="E2" s="76"/>
      <c r="F2" s="77"/>
      <c r="G2" s="75" t="s">
        <v>1174</v>
      </c>
      <c r="H2" s="75" t="s">
        <v>1175</v>
      </c>
      <c r="I2" s="75" t="s">
        <v>1176</v>
      </c>
      <c r="J2" s="13" t="s">
        <v>1177</v>
      </c>
      <c r="K2" s="13" t="s">
        <v>1178</v>
      </c>
    </row>
    <row r="3" spans="1:11" ht="36" customHeight="1" x14ac:dyDescent="0.3">
      <c r="A3" s="78" t="s">
        <v>1179</v>
      </c>
      <c r="B3" s="79">
        <v>5</v>
      </c>
      <c r="C3" s="79" t="s">
        <v>1180</v>
      </c>
      <c r="D3" s="78" t="s">
        <v>1181</v>
      </c>
      <c r="E3" s="80"/>
      <c r="F3" s="81" t="s">
        <v>1182</v>
      </c>
      <c r="G3" s="82" t="s">
        <v>1179</v>
      </c>
      <c r="H3" s="82" t="s">
        <v>1181</v>
      </c>
      <c r="I3" s="82" t="s">
        <v>1180</v>
      </c>
      <c r="K3" s="73">
        <v>5.333333333333333</v>
      </c>
    </row>
    <row r="4" spans="1:11" ht="36" customHeight="1" x14ac:dyDescent="0.3">
      <c r="A4" s="83" t="s">
        <v>1183</v>
      </c>
      <c r="B4" s="84">
        <v>10</v>
      </c>
      <c r="C4" s="84" t="s">
        <v>1184</v>
      </c>
      <c r="D4" s="83" t="s">
        <v>1185</v>
      </c>
      <c r="E4" s="80"/>
      <c r="F4" s="81" t="s">
        <v>1186</v>
      </c>
      <c r="G4" s="82" t="s">
        <v>1183</v>
      </c>
      <c r="H4" s="82" t="s">
        <v>1185</v>
      </c>
      <c r="I4" s="85" t="s">
        <v>1187</v>
      </c>
      <c r="K4" s="73">
        <v>12.5</v>
      </c>
    </row>
    <row r="5" spans="1:11" ht="36" customHeight="1" x14ac:dyDescent="0.3">
      <c r="A5" s="83" t="s">
        <v>1179</v>
      </c>
      <c r="B5" s="84">
        <v>3</v>
      </c>
      <c r="C5" s="84" t="s">
        <v>1180</v>
      </c>
      <c r="D5" s="83" t="s">
        <v>1181</v>
      </c>
      <c r="E5" s="80"/>
      <c r="F5" s="81" t="s">
        <v>1188</v>
      </c>
      <c r="G5" s="82" t="s">
        <v>1179</v>
      </c>
      <c r="H5" s="85" t="s">
        <v>1189</v>
      </c>
      <c r="I5" s="82" t="s">
        <v>1180</v>
      </c>
      <c r="K5" s="73">
        <v>6.5</v>
      </c>
    </row>
    <row r="6" spans="1:11" ht="36" customHeight="1" x14ac:dyDescent="0.3">
      <c r="A6" s="83" t="s">
        <v>1183</v>
      </c>
      <c r="B6" s="84">
        <v>4</v>
      </c>
      <c r="C6" s="84" t="s">
        <v>1184</v>
      </c>
      <c r="D6" s="83" t="s">
        <v>1185</v>
      </c>
      <c r="E6" s="80"/>
      <c r="F6" s="81" t="s">
        <v>1190</v>
      </c>
      <c r="G6" s="82" t="s">
        <v>1183</v>
      </c>
      <c r="H6" s="85" t="s">
        <v>1191</v>
      </c>
      <c r="I6" s="82" t="s">
        <v>1184</v>
      </c>
      <c r="K6" s="73">
        <v>12.5</v>
      </c>
    </row>
    <row r="7" spans="1:11" ht="36" customHeight="1" x14ac:dyDescent="0.3">
      <c r="A7" s="83" t="s">
        <v>1179</v>
      </c>
      <c r="B7" s="84">
        <v>8</v>
      </c>
      <c r="C7" s="84" t="s">
        <v>1180</v>
      </c>
      <c r="D7" s="83" t="s">
        <v>1181</v>
      </c>
      <c r="E7" s="86"/>
      <c r="F7" s="87"/>
    </row>
    <row r="8" spans="1:11" ht="36" customHeight="1" x14ac:dyDescent="0.3">
      <c r="A8" s="83" t="s">
        <v>1183</v>
      </c>
      <c r="B8" s="84">
        <v>15</v>
      </c>
      <c r="C8" s="84" t="s">
        <v>1184</v>
      </c>
      <c r="D8" s="83" t="s">
        <v>1185</v>
      </c>
      <c r="E8" s="86"/>
      <c r="F8" s="87"/>
    </row>
    <row r="9" spans="1:11" ht="15.6" x14ac:dyDescent="0.3">
      <c r="A9" s="86"/>
      <c r="B9" s="86"/>
      <c r="C9" s="86"/>
      <c r="D9" s="86"/>
      <c r="E9" s="86"/>
      <c r="F9" s="87"/>
    </row>
    <row r="10" spans="1:11" ht="25.8" x14ac:dyDescent="0.3">
      <c r="A10" s="107" t="s">
        <v>1192</v>
      </c>
      <c r="B10" s="107"/>
      <c r="C10" s="107"/>
      <c r="D10" s="107"/>
      <c r="E10" s="107"/>
      <c r="F10" s="107"/>
      <c r="G10" s="107"/>
      <c r="H10" s="107"/>
      <c r="I10" s="107"/>
    </row>
    <row r="11" spans="1:11" ht="13.5" customHeight="1" x14ac:dyDescent="0.3">
      <c r="A11" s="86"/>
      <c r="B11" s="86"/>
      <c r="C11" s="86"/>
      <c r="D11" s="86"/>
      <c r="E11" s="86"/>
    </row>
    <row r="12" spans="1:11" ht="15.75" customHeight="1" x14ac:dyDescent="0.3">
      <c r="A12" s="108" t="s">
        <v>1193</v>
      </c>
      <c r="B12" s="108"/>
      <c r="C12" s="108"/>
      <c r="D12" s="108"/>
      <c r="E12" s="108"/>
      <c r="F12" s="108"/>
      <c r="G12" s="108"/>
      <c r="H12" s="108"/>
      <c r="I12" s="108"/>
    </row>
    <row r="13" spans="1:11" ht="20.25" customHeight="1" x14ac:dyDescent="0.3">
      <c r="A13" s="109"/>
      <c r="B13" s="109"/>
      <c r="C13" s="109"/>
      <c r="D13" s="109"/>
      <c r="E13" s="109"/>
      <c r="F13" s="109"/>
      <c r="G13" s="109"/>
      <c r="H13" s="109"/>
      <c r="I13" s="109"/>
    </row>
    <row r="14" spans="1:11" ht="20.25" customHeight="1" x14ac:dyDescent="0.3">
      <c r="A14" s="109"/>
      <c r="B14" s="109"/>
      <c r="C14" s="109"/>
      <c r="D14" s="109"/>
      <c r="E14" s="109"/>
      <c r="F14" s="109"/>
      <c r="G14" s="109"/>
      <c r="H14" s="109"/>
      <c r="I14" s="109"/>
    </row>
    <row r="15" spans="1:11" ht="20.25" customHeight="1" x14ac:dyDescent="0.3">
      <c r="A15" s="109"/>
      <c r="B15" s="109"/>
      <c r="C15" s="109"/>
      <c r="D15" s="109"/>
      <c r="E15" s="109"/>
      <c r="F15" s="109"/>
      <c r="G15" s="109"/>
      <c r="H15" s="109"/>
      <c r="I15" s="109"/>
    </row>
    <row r="16" spans="1:11" ht="20.25" customHeight="1" x14ac:dyDescent="0.3">
      <c r="A16" s="109"/>
      <c r="B16" s="109"/>
      <c r="C16" s="109"/>
      <c r="D16" s="109"/>
      <c r="E16" s="109"/>
      <c r="F16" s="109"/>
      <c r="G16" s="109"/>
      <c r="H16" s="109"/>
      <c r="I16" s="109"/>
    </row>
    <row r="17" spans="1:9" ht="20.25" customHeight="1" x14ac:dyDescent="0.3">
      <c r="A17" s="109"/>
      <c r="B17" s="109"/>
      <c r="C17" s="109"/>
      <c r="D17" s="109"/>
      <c r="E17" s="109"/>
      <c r="F17" s="109"/>
      <c r="G17" s="109"/>
      <c r="H17" s="109"/>
      <c r="I17" s="109"/>
    </row>
    <row r="18" spans="1:9" ht="20.25" customHeight="1" x14ac:dyDescent="0.3">
      <c r="A18" s="86"/>
      <c r="B18" s="86"/>
      <c r="C18" s="86"/>
      <c r="D18" s="86"/>
      <c r="E18" s="86"/>
    </row>
  </sheetData>
  <mergeCells count="3">
    <mergeCell ref="G1:I1"/>
    <mergeCell ref="A10:I10"/>
    <mergeCell ref="A12:I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4"/>
  <sheetViews>
    <sheetView topLeftCell="A3" zoomScale="115" zoomScaleNormal="115" workbookViewId="0">
      <selection activeCell="B10" sqref="B10"/>
    </sheetView>
  </sheetViews>
  <sheetFormatPr defaultRowHeight="14.4" x14ac:dyDescent="0.3"/>
  <cols>
    <col min="1" max="1" width="22.6640625" customWidth="1"/>
    <col min="2" max="2" width="21" customWidth="1"/>
    <col min="5" max="5" width="19.33203125" customWidth="1"/>
  </cols>
  <sheetData>
    <row r="2" spans="1:13" ht="21" x14ac:dyDescent="0.4">
      <c r="A2" s="110" t="s">
        <v>1157</v>
      </c>
      <c r="B2" s="110"/>
      <c r="C2" s="110"/>
      <c r="D2" s="110"/>
      <c r="E2" s="110"/>
      <c r="F2" s="110"/>
      <c r="G2" s="110"/>
    </row>
    <row r="3" spans="1:13" ht="21" x14ac:dyDescent="0.4">
      <c r="J3" s="67" t="s">
        <v>1158</v>
      </c>
    </row>
    <row r="4" spans="1:13" ht="21" x14ac:dyDescent="0.4">
      <c r="A4" s="68" t="s">
        <v>1159</v>
      </c>
      <c r="B4" s="68" t="s">
        <v>1160</v>
      </c>
      <c r="M4" t="s">
        <v>1161</v>
      </c>
    </row>
    <row r="5" spans="1:13" x14ac:dyDescent="0.3">
      <c r="A5" s="69" t="s">
        <v>1162</v>
      </c>
      <c r="B5" s="46">
        <v>20</v>
      </c>
    </row>
    <row r="6" spans="1:13" x14ac:dyDescent="0.3">
      <c r="A6" s="69" t="s">
        <v>1163</v>
      </c>
      <c r="B6" s="46">
        <v>29</v>
      </c>
    </row>
    <row r="7" spans="1:13" x14ac:dyDescent="0.3">
      <c r="A7" s="69" t="s">
        <v>1164</v>
      </c>
      <c r="B7" s="46">
        <v>36</v>
      </c>
    </row>
    <row r="8" spans="1:13" ht="21" x14ac:dyDescent="0.4">
      <c r="A8" s="69" t="s">
        <v>1165</v>
      </c>
      <c r="B8" s="46">
        <v>20</v>
      </c>
      <c r="D8" s="111" t="s">
        <v>1166</v>
      </c>
      <c r="E8" s="112"/>
      <c r="F8" s="112"/>
      <c r="G8" s="113"/>
    </row>
    <row r="9" spans="1:13" x14ac:dyDescent="0.3">
      <c r="A9" s="69" t="s">
        <v>1167</v>
      </c>
      <c r="B9" s="46">
        <v>45</v>
      </c>
    </row>
    <row r="10" spans="1:13" x14ac:dyDescent="0.3">
      <c r="A10" s="69" t="s">
        <v>1162</v>
      </c>
      <c r="B10" s="46">
        <v>10</v>
      </c>
      <c r="E10" s="70"/>
      <c r="F10" s="46"/>
    </row>
    <row r="11" spans="1:13" x14ac:dyDescent="0.3">
      <c r="A11" s="69" t="s">
        <v>1163</v>
      </c>
      <c r="B11" s="46">
        <v>12</v>
      </c>
      <c r="E11" s="70"/>
      <c r="F11" s="46"/>
    </row>
    <row r="12" spans="1:13" x14ac:dyDescent="0.3">
      <c r="A12" s="69" t="s">
        <v>1164</v>
      </c>
      <c r="B12" s="46">
        <v>8</v>
      </c>
      <c r="E12" s="70"/>
      <c r="F12" s="46"/>
    </row>
    <row r="13" spans="1:13" x14ac:dyDescent="0.3">
      <c r="A13" s="69" t="s">
        <v>1165</v>
      </c>
      <c r="B13" s="46">
        <v>6</v>
      </c>
      <c r="E13" s="70"/>
      <c r="F13" s="46"/>
    </row>
    <row r="14" spans="1:13" x14ac:dyDescent="0.3">
      <c r="A14" s="69" t="s">
        <v>1167</v>
      </c>
      <c r="B14" s="46">
        <v>18</v>
      </c>
      <c r="E14" s="70"/>
      <c r="F14" s="46"/>
    </row>
    <row r="15" spans="1:13" x14ac:dyDescent="0.3">
      <c r="A15" s="69" t="s">
        <v>1162</v>
      </c>
      <c r="B15" s="46">
        <v>6</v>
      </c>
    </row>
    <row r="16" spans="1:13" ht="21" x14ac:dyDescent="0.4">
      <c r="A16" s="69" t="s">
        <v>1163</v>
      </c>
      <c r="B16" s="46">
        <v>10</v>
      </c>
      <c r="E16" s="68" t="s">
        <v>1168</v>
      </c>
      <c r="F16" s="71"/>
    </row>
    <row r="17" spans="1:2" x14ac:dyDescent="0.3">
      <c r="A17" s="69" t="s">
        <v>1164</v>
      </c>
      <c r="B17" s="46">
        <v>14</v>
      </c>
    </row>
    <row r="18" spans="1:2" x14ac:dyDescent="0.3">
      <c r="A18" s="69" t="s">
        <v>1165</v>
      </c>
      <c r="B18" s="46">
        <v>6</v>
      </c>
    </row>
    <row r="19" spans="1:2" x14ac:dyDescent="0.3">
      <c r="A19" s="69" t="s">
        <v>1167</v>
      </c>
      <c r="B19" s="46">
        <v>16</v>
      </c>
    </row>
    <row r="20" spans="1:2" x14ac:dyDescent="0.3">
      <c r="A20" s="69" t="s">
        <v>1162</v>
      </c>
      <c r="B20" s="46">
        <v>9</v>
      </c>
    </row>
    <row r="21" spans="1:2" x14ac:dyDescent="0.3">
      <c r="A21" s="69" t="s">
        <v>1163</v>
      </c>
      <c r="B21" s="46">
        <v>12</v>
      </c>
    </row>
    <row r="22" spans="1:2" x14ac:dyDescent="0.3">
      <c r="A22" s="69" t="s">
        <v>1164</v>
      </c>
      <c r="B22" s="46">
        <v>8</v>
      </c>
    </row>
    <row r="23" spans="1:2" x14ac:dyDescent="0.3">
      <c r="A23" s="69" t="s">
        <v>1165</v>
      </c>
      <c r="B23" s="46">
        <v>6</v>
      </c>
    </row>
    <row r="24" spans="1:2" ht="21" x14ac:dyDescent="0.4">
      <c r="A24" s="68" t="s">
        <v>1168</v>
      </c>
      <c r="B24" s="72"/>
    </row>
  </sheetData>
  <mergeCells count="2">
    <mergeCell ref="A2:G2"/>
    <mergeCell ref="D8:G8"/>
  </mergeCells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3"/>
  <sheetViews>
    <sheetView zoomScale="115" zoomScaleNormal="115" workbookViewId="0">
      <selection activeCell="L5" sqref="L5"/>
    </sheetView>
  </sheetViews>
  <sheetFormatPr defaultRowHeight="14.4" x14ac:dyDescent="0.3"/>
  <cols>
    <col min="1" max="1" width="4.6640625" bestFit="1" customWidth="1"/>
    <col min="2" max="2" width="3.5546875" bestFit="1" customWidth="1"/>
    <col min="3" max="3" width="10.88671875" style="25" bestFit="1" customWidth="1"/>
    <col min="4" max="4" width="8.88671875" bestFit="1" customWidth="1"/>
    <col min="5" max="5" width="8.6640625" bestFit="1" customWidth="1"/>
    <col min="6" max="6" width="11" bestFit="1" customWidth="1"/>
    <col min="7" max="7" width="15.88671875" bestFit="1" customWidth="1"/>
    <col min="8" max="8" width="13.44140625" style="54" bestFit="1" customWidth="1"/>
    <col min="9" max="9" width="4.5546875" customWidth="1"/>
    <col min="10" max="10" width="19.109375" customWidth="1"/>
    <col min="11" max="11" width="13.44140625" bestFit="1" customWidth="1"/>
    <col min="12" max="12" width="15.88671875" bestFit="1" customWidth="1"/>
  </cols>
  <sheetData>
    <row r="1" spans="1:12" x14ac:dyDescent="0.3">
      <c r="G1" t="s">
        <v>1122</v>
      </c>
    </row>
    <row r="2" spans="1:12" ht="15.6" x14ac:dyDescent="0.3">
      <c r="A2" s="55" t="s">
        <v>1123</v>
      </c>
      <c r="B2" s="55" t="s">
        <v>1124</v>
      </c>
      <c r="C2" s="56" t="s">
        <v>1125</v>
      </c>
      <c r="D2" s="55" t="s">
        <v>1126</v>
      </c>
      <c r="E2" s="55" t="s">
        <v>1127</v>
      </c>
      <c r="F2" s="55" t="s">
        <v>1128</v>
      </c>
      <c r="G2" s="55" t="s">
        <v>1129</v>
      </c>
      <c r="H2" s="57" t="s">
        <v>1130</v>
      </c>
      <c r="J2" s="55" t="s">
        <v>1131</v>
      </c>
      <c r="K2" s="25">
        <v>44630</v>
      </c>
    </row>
    <row r="3" spans="1:12" ht="15.6" x14ac:dyDescent="0.3">
      <c r="A3">
        <f t="shared" ref="A3:A22" si="0">DAY(C3)</f>
        <v>6</v>
      </c>
      <c r="B3">
        <f t="shared" ref="B3:B22" si="1">MONTH(C3)</f>
        <v>3</v>
      </c>
      <c r="C3" s="58">
        <v>44626</v>
      </c>
      <c r="D3" s="59" t="s">
        <v>1132</v>
      </c>
      <c r="E3" s="59" t="s">
        <v>1133</v>
      </c>
      <c r="F3" s="59" t="s">
        <v>1134</v>
      </c>
      <c r="G3" s="59" t="s">
        <v>1135</v>
      </c>
      <c r="H3" s="60">
        <v>65000</v>
      </c>
      <c r="I3" s="61"/>
      <c r="J3" s="55" t="s">
        <v>1136</v>
      </c>
      <c r="K3" s="25">
        <v>44732</v>
      </c>
    </row>
    <row r="4" spans="1:12" x14ac:dyDescent="0.3">
      <c r="A4">
        <f t="shared" si="0"/>
        <v>10</v>
      </c>
      <c r="B4">
        <f t="shared" si="1"/>
        <v>3</v>
      </c>
      <c r="C4" s="58">
        <v>44630</v>
      </c>
      <c r="D4" s="59" t="s">
        <v>1137</v>
      </c>
      <c r="E4" s="59" t="s">
        <v>1133</v>
      </c>
      <c r="F4" s="59" t="s">
        <v>1134</v>
      </c>
      <c r="G4" s="59" t="s">
        <v>1138</v>
      </c>
      <c r="H4" s="60">
        <v>8400</v>
      </c>
      <c r="I4" s="61"/>
    </row>
    <row r="5" spans="1:12" x14ac:dyDescent="0.3">
      <c r="A5">
        <f t="shared" si="0"/>
        <v>14</v>
      </c>
      <c r="B5">
        <f t="shared" si="1"/>
        <v>3</v>
      </c>
      <c r="C5" s="58">
        <v>44634</v>
      </c>
      <c r="D5" s="59" t="s">
        <v>1139</v>
      </c>
      <c r="E5" s="59" t="s">
        <v>1140</v>
      </c>
      <c r="F5" s="59" t="s">
        <v>1134</v>
      </c>
      <c r="G5" s="59" t="s">
        <v>1141</v>
      </c>
      <c r="H5" s="60">
        <v>56000</v>
      </c>
      <c r="I5" s="61"/>
    </row>
    <row r="6" spans="1:12" x14ac:dyDescent="0.3">
      <c r="A6">
        <f t="shared" si="0"/>
        <v>22</v>
      </c>
      <c r="B6">
        <f t="shared" si="1"/>
        <v>3</v>
      </c>
      <c r="C6" s="25">
        <v>44642</v>
      </c>
      <c r="D6" t="s">
        <v>1142</v>
      </c>
      <c r="E6" t="s">
        <v>1133</v>
      </c>
      <c r="F6" t="s">
        <v>1134</v>
      </c>
      <c r="G6" t="s">
        <v>1143</v>
      </c>
      <c r="H6" s="62">
        <v>4000</v>
      </c>
      <c r="I6" s="61"/>
      <c r="J6" s="63" t="s">
        <v>1133</v>
      </c>
      <c r="K6" s="64"/>
      <c r="L6" s="65">
        <v>177400</v>
      </c>
    </row>
    <row r="7" spans="1:12" x14ac:dyDescent="0.3">
      <c r="A7">
        <f t="shared" si="0"/>
        <v>30</v>
      </c>
      <c r="B7">
        <f t="shared" si="1"/>
        <v>3</v>
      </c>
      <c r="C7" s="58">
        <v>44650</v>
      </c>
      <c r="D7" s="59" t="s">
        <v>1132</v>
      </c>
      <c r="E7" s="59" t="s">
        <v>1133</v>
      </c>
      <c r="F7" s="59" t="s">
        <v>1134</v>
      </c>
      <c r="G7" s="59" t="s">
        <v>1138</v>
      </c>
      <c r="H7" s="60">
        <v>55000</v>
      </c>
      <c r="I7" s="61"/>
      <c r="J7" s="63" t="s">
        <v>1140</v>
      </c>
      <c r="K7" s="64"/>
      <c r="L7" s="65">
        <v>160000</v>
      </c>
    </row>
    <row r="8" spans="1:12" x14ac:dyDescent="0.3">
      <c r="A8">
        <f t="shared" si="0"/>
        <v>3</v>
      </c>
      <c r="B8">
        <f t="shared" si="1"/>
        <v>4</v>
      </c>
      <c r="C8" s="25">
        <v>44654</v>
      </c>
      <c r="D8" t="s">
        <v>1142</v>
      </c>
      <c r="E8" t="s">
        <v>1133</v>
      </c>
      <c r="F8" t="s">
        <v>1144</v>
      </c>
      <c r="G8" t="s">
        <v>1145</v>
      </c>
      <c r="H8" s="62">
        <v>25000</v>
      </c>
      <c r="I8" s="61"/>
      <c r="J8" s="63" t="s">
        <v>1146</v>
      </c>
      <c r="K8" s="64"/>
      <c r="L8" s="65">
        <v>14700</v>
      </c>
    </row>
    <row r="9" spans="1:12" x14ac:dyDescent="0.3">
      <c r="A9">
        <f t="shared" si="0"/>
        <v>7</v>
      </c>
      <c r="B9">
        <f t="shared" si="1"/>
        <v>4</v>
      </c>
      <c r="C9" s="25">
        <v>44658</v>
      </c>
      <c r="D9" t="s">
        <v>1142</v>
      </c>
      <c r="E9" t="s">
        <v>1133</v>
      </c>
      <c r="F9" t="s">
        <v>1134</v>
      </c>
      <c r="G9" t="s">
        <v>1145</v>
      </c>
      <c r="H9" s="62">
        <v>25000</v>
      </c>
      <c r="I9" s="61"/>
      <c r="J9" s="63" t="s">
        <v>1147</v>
      </c>
      <c r="K9" s="64"/>
      <c r="L9" s="65">
        <v>88520</v>
      </c>
    </row>
    <row r="10" spans="1:12" x14ac:dyDescent="0.3">
      <c r="A10">
        <f t="shared" si="0"/>
        <v>11</v>
      </c>
      <c r="B10">
        <f t="shared" si="1"/>
        <v>4</v>
      </c>
      <c r="C10" s="25">
        <v>44662</v>
      </c>
      <c r="D10" t="s">
        <v>1142</v>
      </c>
      <c r="E10" t="s">
        <v>1133</v>
      </c>
      <c r="F10" t="s">
        <v>1148</v>
      </c>
      <c r="G10" t="s">
        <v>1149</v>
      </c>
      <c r="H10" s="62">
        <v>5000</v>
      </c>
      <c r="I10" s="61"/>
      <c r="K10" s="66"/>
      <c r="L10" s="66"/>
    </row>
    <row r="11" spans="1:12" x14ac:dyDescent="0.3">
      <c r="A11">
        <f t="shared" si="0"/>
        <v>15</v>
      </c>
      <c r="B11">
        <f t="shared" si="1"/>
        <v>4</v>
      </c>
      <c r="C11" s="58">
        <v>44666</v>
      </c>
      <c r="D11" s="59" t="s">
        <v>1132</v>
      </c>
      <c r="E11" s="59" t="s">
        <v>1133</v>
      </c>
      <c r="F11" s="59" t="s">
        <v>1134</v>
      </c>
      <c r="G11" s="59" t="s">
        <v>1145</v>
      </c>
      <c r="H11" s="60">
        <v>25000</v>
      </c>
      <c r="I11" s="61"/>
      <c r="K11" s="66"/>
      <c r="L11" s="66"/>
    </row>
    <row r="12" spans="1:12" x14ac:dyDescent="0.3">
      <c r="A12">
        <f t="shared" si="0"/>
        <v>19</v>
      </c>
      <c r="B12">
        <f t="shared" si="1"/>
        <v>4</v>
      </c>
      <c r="C12" s="25">
        <v>44670</v>
      </c>
      <c r="D12" t="s">
        <v>1142</v>
      </c>
      <c r="E12" t="s">
        <v>1133</v>
      </c>
      <c r="F12" t="s">
        <v>1134</v>
      </c>
      <c r="G12" t="s">
        <v>1145</v>
      </c>
      <c r="H12" s="62">
        <v>25000</v>
      </c>
      <c r="I12" s="61"/>
    </row>
    <row r="13" spans="1:12" x14ac:dyDescent="0.3">
      <c r="A13">
        <f t="shared" si="0"/>
        <v>23</v>
      </c>
      <c r="B13">
        <f t="shared" si="1"/>
        <v>4</v>
      </c>
      <c r="C13" s="58">
        <v>44674</v>
      </c>
      <c r="D13" s="59" t="s">
        <v>1132</v>
      </c>
      <c r="E13" s="59" t="s">
        <v>1133</v>
      </c>
      <c r="F13" s="59" t="s">
        <v>1144</v>
      </c>
      <c r="G13" s="59" t="s">
        <v>1149</v>
      </c>
      <c r="H13" s="60">
        <v>5000</v>
      </c>
      <c r="I13" s="61"/>
    </row>
    <row r="14" spans="1:12" x14ac:dyDescent="0.3">
      <c r="A14">
        <f t="shared" si="0"/>
        <v>27</v>
      </c>
      <c r="B14">
        <f t="shared" si="1"/>
        <v>4</v>
      </c>
      <c r="C14" s="25">
        <v>44678</v>
      </c>
      <c r="D14" t="s">
        <v>1150</v>
      </c>
      <c r="E14" t="s">
        <v>1140</v>
      </c>
      <c r="F14" t="s">
        <v>1151</v>
      </c>
      <c r="G14" t="s">
        <v>1152</v>
      </c>
      <c r="H14" s="62">
        <v>63000</v>
      </c>
      <c r="I14" s="61"/>
    </row>
    <row r="15" spans="1:12" x14ac:dyDescent="0.3">
      <c r="A15">
        <f t="shared" si="0"/>
        <v>29</v>
      </c>
      <c r="B15">
        <f t="shared" si="1"/>
        <v>5</v>
      </c>
      <c r="C15" s="25">
        <v>44710</v>
      </c>
      <c r="D15" t="s">
        <v>1153</v>
      </c>
      <c r="E15" t="s">
        <v>1146</v>
      </c>
      <c r="F15" t="s">
        <v>1144</v>
      </c>
      <c r="G15" t="s">
        <v>1154</v>
      </c>
      <c r="H15" s="62">
        <v>14700</v>
      </c>
      <c r="I15" s="61"/>
    </row>
    <row r="16" spans="1:12" x14ac:dyDescent="0.3">
      <c r="A16">
        <f t="shared" si="0"/>
        <v>2</v>
      </c>
      <c r="B16">
        <f t="shared" si="1"/>
        <v>6</v>
      </c>
      <c r="C16" s="25">
        <v>44714</v>
      </c>
      <c r="D16" t="s">
        <v>1155</v>
      </c>
      <c r="E16" t="s">
        <v>1147</v>
      </c>
      <c r="F16" t="s">
        <v>1144</v>
      </c>
      <c r="G16" t="s">
        <v>1152</v>
      </c>
      <c r="H16" s="62">
        <v>14520</v>
      </c>
      <c r="I16" s="61"/>
    </row>
    <row r="17" spans="1:9" x14ac:dyDescent="0.3">
      <c r="A17">
        <f t="shared" si="0"/>
        <v>6</v>
      </c>
      <c r="B17">
        <f t="shared" si="1"/>
        <v>6</v>
      </c>
      <c r="C17" s="25">
        <v>44718</v>
      </c>
      <c r="D17" t="s">
        <v>1155</v>
      </c>
      <c r="E17" t="s">
        <v>1140</v>
      </c>
      <c r="F17" t="s">
        <v>1144</v>
      </c>
      <c r="G17" t="s">
        <v>1141</v>
      </c>
      <c r="H17" s="62">
        <v>41000</v>
      </c>
      <c r="I17" s="61"/>
    </row>
    <row r="18" spans="1:9" x14ac:dyDescent="0.3">
      <c r="A18">
        <f t="shared" si="0"/>
        <v>18</v>
      </c>
      <c r="B18">
        <f t="shared" si="1"/>
        <v>6</v>
      </c>
      <c r="C18" s="25">
        <v>44730</v>
      </c>
      <c r="D18" t="s">
        <v>1139</v>
      </c>
      <c r="E18" t="s">
        <v>1147</v>
      </c>
      <c r="F18" t="s">
        <v>1144</v>
      </c>
      <c r="G18" t="s">
        <v>1141</v>
      </c>
      <c r="H18" s="62">
        <v>74000</v>
      </c>
      <c r="I18" s="61"/>
    </row>
    <row r="19" spans="1:9" x14ac:dyDescent="0.3">
      <c r="A19">
        <f t="shared" si="0"/>
        <v>22</v>
      </c>
      <c r="B19">
        <f t="shared" si="1"/>
        <v>6</v>
      </c>
      <c r="C19" s="25">
        <v>44734</v>
      </c>
      <c r="D19" t="s">
        <v>1155</v>
      </c>
      <c r="E19" t="s">
        <v>1147</v>
      </c>
      <c r="F19" t="s">
        <v>1144</v>
      </c>
      <c r="G19" t="s">
        <v>1156</v>
      </c>
      <c r="H19" s="62">
        <v>52000</v>
      </c>
      <c r="I19" s="61"/>
    </row>
    <row r="20" spans="1:9" x14ac:dyDescent="0.3">
      <c r="A20">
        <f t="shared" si="0"/>
        <v>30</v>
      </c>
      <c r="B20">
        <f t="shared" si="1"/>
        <v>6</v>
      </c>
      <c r="C20" s="25">
        <v>44742</v>
      </c>
      <c r="D20" t="s">
        <v>1155</v>
      </c>
      <c r="E20" t="s">
        <v>1147</v>
      </c>
      <c r="F20" t="s">
        <v>1144</v>
      </c>
      <c r="G20" t="s">
        <v>1156</v>
      </c>
      <c r="H20" s="62">
        <v>63000</v>
      </c>
      <c r="I20" s="61"/>
    </row>
    <row r="21" spans="1:9" x14ac:dyDescent="0.3">
      <c r="A21">
        <f t="shared" si="0"/>
        <v>4</v>
      </c>
      <c r="B21">
        <f t="shared" si="1"/>
        <v>7</v>
      </c>
      <c r="C21" s="25">
        <v>44746</v>
      </c>
      <c r="D21" t="s">
        <v>1137</v>
      </c>
      <c r="E21" t="s">
        <v>1133</v>
      </c>
      <c r="F21" t="s">
        <v>1144</v>
      </c>
      <c r="G21" t="s">
        <v>1156</v>
      </c>
      <c r="H21" s="62">
        <v>77400</v>
      </c>
      <c r="I21" s="61"/>
    </row>
    <row r="22" spans="1:9" x14ac:dyDescent="0.3">
      <c r="A22">
        <f t="shared" si="0"/>
        <v>20</v>
      </c>
      <c r="B22">
        <f t="shared" si="1"/>
        <v>7</v>
      </c>
      <c r="C22" s="25">
        <v>44762</v>
      </c>
      <c r="D22" t="s">
        <v>1155</v>
      </c>
      <c r="E22" t="s">
        <v>1146</v>
      </c>
      <c r="F22" t="s">
        <v>1144</v>
      </c>
      <c r="G22" t="s">
        <v>1141</v>
      </c>
      <c r="H22" s="62">
        <v>3600</v>
      </c>
      <c r="I22" s="61"/>
    </row>
    <row r="23" spans="1:9" x14ac:dyDescent="0.3">
      <c r="I23" s="66"/>
    </row>
  </sheetData>
  <pageMargins left="0.25" right="0.25" top="0.75" bottom="0.75" header="0.3" footer="0.3"/>
  <pageSetup paperSize="9" scale="9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opLeftCell="B1" zoomScale="160" zoomScaleNormal="160" workbookViewId="0">
      <selection activeCell="E2" sqref="E2"/>
    </sheetView>
  </sheetViews>
  <sheetFormatPr defaultRowHeight="14.4" x14ac:dyDescent="0.3"/>
  <cols>
    <col min="1" max="1" width="11.109375" customWidth="1"/>
    <col min="3" max="3" width="11.33203125" customWidth="1"/>
    <col min="4" max="4" width="19.109375" customWidth="1"/>
    <col min="5" max="5" width="12.44140625" bestFit="1" customWidth="1"/>
    <col min="6" max="6" width="14.6640625" customWidth="1"/>
    <col min="11" max="11" width="10.6640625" customWidth="1"/>
    <col min="12" max="12" width="17" customWidth="1"/>
  </cols>
  <sheetData>
    <row r="1" spans="1:13" x14ac:dyDescent="0.3">
      <c r="A1" s="46" t="s">
        <v>1112</v>
      </c>
      <c r="B1" s="46" t="s">
        <v>1113</v>
      </c>
      <c r="C1" s="46" t="s">
        <v>1114</v>
      </c>
      <c r="D1" s="46" t="s">
        <v>28</v>
      </c>
      <c r="E1" s="46" t="s">
        <v>1115</v>
      </c>
      <c r="F1" s="46" t="s">
        <v>1116</v>
      </c>
      <c r="H1" t="s">
        <v>1117</v>
      </c>
    </row>
    <row r="2" spans="1:13" ht="21" customHeight="1" x14ac:dyDescent="0.35">
      <c r="A2" s="46">
        <v>21001</v>
      </c>
      <c r="B2" s="46">
        <v>450</v>
      </c>
      <c r="C2" s="46">
        <v>20</v>
      </c>
      <c r="D2" s="47"/>
      <c r="E2" s="46" t="s">
        <v>1118</v>
      </c>
      <c r="F2" s="48"/>
      <c r="H2" s="49"/>
      <c r="L2" s="50"/>
      <c r="M2" s="50"/>
    </row>
    <row r="3" spans="1:13" ht="21" customHeight="1" x14ac:dyDescent="0.35">
      <c r="A3" s="46">
        <v>21002</v>
      </c>
      <c r="B3" s="46">
        <v>350</v>
      </c>
      <c r="C3" s="46">
        <v>20</v>
      </c>
      <c r="D3" s="47"/>
      <c r="E3" s="46" t="s">
        <v>1119</v>
      </c>
      <c r="F3" s="48"/>
      <c r="G3" s="51"/>
      <c r="H3" s="49"/>
      <c r="L3" s="16"/>
      <c r="M3" s="16"/>
    </row>
    <row r="4" spans="1:13" ht="21" customHeight="1" x14ac:dyDescent="0.35">
      <c r="A4" s="46">
        <v>21003</v>
      </c>
      <c r="B4" s="46">
        <v>600</v>
      </c>
      <c r="C4" s="46">
        <v>20</v>
      </c>
      <c r="D4" s="47"/>
      <c r="E4" s="46" t="s">
        <v>1118</v>
      </c>
      <c r="F4" s="48"/>
      <c r="H4" s="49"/>
      <c r="L4" s="16"/>
      <c r="M4" s="16"/>
    </row>
    <row r="5" spans="1:13" ht="21" customHeight="1" x14ac:dyDescent="0.3">
      <c r="A5" s="46">
        <v>21004</v>
      </c>
      <c r="B5" s="46">
        <v>500</v>
      </c>
      <c r="C5" s="46">
        <v>20</v>
      </c>
      <c r="D5" s="47"/>
      <c r="E5" s="46" t="s">
        <v>1118</v>
      </c>
      <c r="F5" s="48"/>
    </row>
    <row r="6" spans="1:13" ht="21" customHeight="1" x14ac:dyDescent="0.3">
      <c r="A6" s="46">
        <v>21005</v>
      </c>
      <c r="B6" s="46">
        <v>700</v>
      </c>
      <c r="C6" s="46">
        <v>20</v>
      </c>
      <c r="D6" s="47"/>
      <c r="E6" s="46" t="s">
        <v>1119</v>
      </c>
      <c r="F6" s="48"/>
    </row>
    <row r="7" spans="1:13" ht="21" customHeight="1" x14ac:dyDescent="0.3">
      <c r="A7" s="46">
        <v>21006</v>
      </c>
      <c r="B7" s="46">
        <v>200</v>
      </c>
      <c r="C7" s="46">
        <v>20</v>
      </c>
      <c r="D7" s="47"/>
      <c r="E7" s="46" t="s">
        <v>1118</v>
      </c>
      <c r="F7" s="48"/>
    </row>
    <row r="8" spans="1:13" ht="21" customHeight="1" x14ac:dyDescent="0.3">
      <c r="A8" s="46">
        <v>21007</v>
      </c>
      <c r="B8" s="46">
        <v>150</v>
      </c>
      <c r="C8" s="46">
        <v>20</v>
      </c>
      <c r="D8" s="47"/>
      <c r="E8" s="46" t="s">
        <v>1118</v>
      </c>
      <c r="F8" s="48"/>
    </row>
    <row r="9" spans="1:13" ht="21" customHeight="1" x14ac:dyDescent="0.3">
      <c r="A9" s="46">
        <v>21008</v>
      </c>
      <c r="B9" s="46">
        <v>300</v>
      </c>
      <c r="C9" s="46">
        <v>30</v>
      </c>
      <c r="D9" s="47"/>
      <c r="E9" s="46" t="s">
        <v>1118</v>
      </c>
      <c r="F9" s="48"/>
    </row>
    <row r="10" spans="1:13" ht="21" customHeight="1" x14ac:dyDescent="0.3">
      <c r="A10" s="46">
        <v>21009</v>
      </c>
      <c r="B10" s="46">
        <v>400</v>
      </c>
      <c r="C10" s="46">
        <v>35</v>
      </c>
      <c r="D10" s="47"/>
      <c r="E10" s="46" t="s">
        <v>1119</v>
      </c>
      <c r="F10" s="48"/>
    </row>
    <row r="12" spans="1:13" s="16" customFormat="1" ht="18" x14ac:dyDescent="0.35">
      <c r="A12" s="52">
        <v>1</v>
      </c>
      <c r="B12" s="53" t="s">
        <v>1120</v>
      </c>
    </row>
    <row r="13" spans="1:13" s="16" customFormat="1" ht="18" x14ac:dyDescent="0.35">
      <c r="A13" s="52">
        <v>2</v>
      </c>
      <c r="B13" s="53" t="s">
        <v>1121</v>
      </c>
    </row>
    <row r="14" spans="1:13" s="16" customFormat="1" ht="18" x14ac:dyDescent="0.35"/>
    <row r="15" spans="1:13" s="16" customFormat="1" ht="18" x14ac:dyDescent="0.35"/>
    <row r="16" spans="1:13" s="16" customFormat="1" ht="18" x14ac:dyDescent="0.35"/>
  </sheetData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" sqref="D1"/>
    </sheetView>
  </sheetViews>
  <sheetFormatPr defaultRowHeight="14.4" x14ac:dyDescent="0.3"/>
  <cols>
    <col min="1" max="1" width="12" bestFit="1" customWidth="1"/>
    <col min="2" max="2" width="18" style="45" bestFit="1" customWidth="1"/>
    <col min="3" max="3" width="21.44140625" style="45" customWidth="1"/>
    <col min="4" max="4" width="22" style="45" customWidth="1"/>
    <col min="5" max="5" width="24.109375" customWidth="1"/>
    <col min="6" max="6" width="9.5546875" bestFit="1" customWidth="1"/>
    <col min="7" max="7" width="11" bestFit="1" customWidth="1"/>
  </cols>
  <sheetData>
    <row r="1" spans="1:5" ht="21" x14ac:dyDescent="0.4">
      <c r="B1" s="39" t="s">
        <v>1100</v>
      </c>
      <c r="C1" s="39" t="s">
        <v>1101</v>
      </c>
      <c r="D1" s="39"/>
    </row>
    <row r="3" spans="1:5" ht="21" x14ac:dyDescent="0.4">
      <c r="A3" s="40" t="s">
        <v>1102</v>
      </c>
      <c r="B3" s="41" t="s">
        <v>1103</v>
      </c>
      <c r="C3" s="41" t="s">
        <v>1101</v>
      </c>
      <c r="D3" s="41" t="s">
        <v>1104</v>
      </c>
    </row>
    <row r="4" spans="1:5" ht="21" x14ac:dyDescent="0.4">
      <c r="A4" s="42" t="s">
        <v>1105</v>
      </c>
      <c r="B4" s="43">
        <v>14500</v>
      </c>
      <c r="C4" s="43">
        <v>14790</v>
      </c>
      <c r="D4" s="43">
        <v>15225</v>
      </c>
    </row>
    <row r="5" spans="1:5" ht="21" x14ac:dyDescent="0.4">
      <c r="A5" s="42" t="s">
        <v>1106</v>
      </c>
      <c r="B5" s="43">
        <v>25362</v>
      </c>
      <c r="C5" s="43">
        <v>25869</v>
      </c>
      <c r="D5" s="43">
        <v>26630</v>
      </c>
      <c r="E5" s="44"/>
    </row>
    <row r="6" spans="1:5" ht="21" x14ac:dyDescent="0.4">
      <c r="A6" s="42" t="s">
        <v>1107</v>
      </c>
      <c r="B6" s="43">
        <v>14853</v>
      </c>
      <c r="C6" s="43">
        <v>15150</v>
      </c>
      <c r="D6" s="43">
        <v>15596</v>
      </c>
    </row>
    <row r="7" spans="1:5" ht="21" x14ac:dyDescent="0.4">
      <c r="A7" s="42" t="s">
        <v>1100</v>
      </c>
      <c r="B7" s="43">
        <v>36250</v>
      </c>
      <c r="C7" s="43">
        <v>36975</v>
      </c>
      <c r="D7" s="43">
        <v>38063</v>
      </c>
    </row>
    <row r="8" spans="1:5" ht="21" x14ac:dyDescent="0.4">
      <c r="A8" s="42" t="s">
        <v>1108</v>
      </c>
      <c r="B8" s="43">
        <f>B4+1000</f>
        <v>15500</v>
      </c>
      <c r="C8" s="43">
        <f t="shared" ref="C8:D8" si="0">C4+1000</f>
        <v>15790</v>
      </c>
      <c r="D8" s="43">
        <f t="shared" si="0"/>
        <v>16225</v>
      </c>
    </row>
    <row r="9" spans="1:5" ht="21" x14ac:dyDescent="0.4">
      <c r="A9" s="42" t="s">
        <v>1109</v>
      </c>
      <c r="B9" s="43">
        <f t="shared" ref="B9:D11" si="1">B5+1000</f>
        <v>26362</v>
      </c>
      <c r="C9" s="43">
        <f t="shared" si="1"/>
        <v>26869</v>
      </c>
      <c r="D9" s="43">
        <f t="shared" si="1"/>
        <v>27630</v>
      </c>
    </row>
    <row r="10" spans="1:5" ht="21" x14ac:dyDescent="0.4">
      <c r="A10" s="42" t="s">
        <v>1110</v>
      </c>
      <c r="B10" s="43">
        <f t="shared" si="1"/>
        <v>15853</v>
      </c>
      <c r="C10" s="43">
        <f t="shared" si="1"/>
        <v>16150</v>
      </c>
      <c r="D10" s="43">
        <f t="shared" si="1"/>
        <v>16596</v>
      </c>
    </row>
    <row r="11" spans="1:5" ht="21" x14ac:dyDescent="0.4">
      <c r="A11" s="42" t="s">
        <v>1111</v>
      </c>
      <c r="B11" s="43">
        <f t="shared" si="1"/>
        <v>37250</v>
      </c>
      <c r="C11" s="43">
        <f t="shared" si="1"/>
        <v>37975</v>
      </c>
      <c r="D11" s="43">
        <f t="shared" si="1"/>
        <v>39063</v>
      </c>
    </row>
  </sheetData>
  <dataValidations count="2">
    <dataValidation type="list" allowBlank="1" showInputMessage="1" showErrorMessage="1" sqref="C1">
      <formula1>$B$3:$D$3</formula1>
    </dataValidation>
    <dataValidation type="list" allowBlank="1" showInputMessage="1" showErrorMessage="1" sqref="B1">
      <formula1>$A$4:$A$11</formula1>
    </dataValidation>
  </dataValidations>
  <pageMargins left="0.7" right="0.7" top="0.75" bottom="0.75" header="0.3" footer="0.3"/>
  <pageSetup paperSize="9"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opLeftCell="D1" workbookViewId="0">
      <selection activeCell="F2" sqref="F2"/>
    </sheetView>
  </sheetViews>
  <sheetFormatPr defaultColWidth="9.109375" defaultRowHeight="38.1" customHeight="1" x14ac:dyDescent="0.3"/>
  <cols>
    <col min="1" max="1" width="18.88671875" style="30" customWidth="1"/>
    <col min="2" max="2" width="75.33203125" style="30" customWidth="1"/>
    <col min="3" max="3" width="9.109375" style="30"/>
    <col min="4" max="4" width="28.44140625" style="30" customWidth="1"/>
    <col min="5" max="5" width="33.44140625" style="30" customWidth="1"/>
    <col min="6" max="6" width="16.6640625" style="30" customWidth="1"/>
    <col min="7" max="16384" width="9.109375" style="30"/>
  </cols>
  <sheetData>
    <row r="1" spans="1:8" ht="38.1" customHeight="1" x14ac:dyDescent="0.35">
      <c r="A1" s="28" t="s">
        <v>1080</v>
      </c>
      <c r="B1" s="29" t="s">
        <v>1081</v>
      </c>
      <c r="D1" s="31" t="s">
        <v>1082</v>
      </c>
      <c r="E1" s="32" t="s">
        <v>1083</v>
      </c>
      <c r="H1" s="30" t="s">
        <v>1084</v>
      </c>
    </row>
    <row r="2" spans="1:8" ht="38.1" customHeight="1" x14ac:dyDescent="0.45">
      <c r="A2" s="28" t="s">
        <v>1085</v>
      </c>
      <c r="B2" s="29" t="s">
        <v>1086</v>
      </c>
      <c r="D2" s="33" t="s">
        <v>1087</v>
      </c>
      <c r="E2" s="34"/>
      <c r="F2" s="35">
        <v>2400</v>
      </c>
      <c r="H2" s="30" t="str">
        <f>MID(H1,3,3)</f>
        <v>cel</v>
      </c>
    </row>
    <row r="3" spans="1:8" ht="38.1" customHeight="1" x14ac:dyDescent="0.3">
      <c r="A3" s="28" t="s">
        <v>1088</v>
      </c>
      <c r="B3" s="36" t="s">
        <v>1089</v>
      </c>
      <c r="D3" s="33" t="s">
        <v>1090</v>
      </c>
      <c r="E3" s="34"/>
    </row>
    <row r="4" spans="1:8" ht="38.1" customHeight="1" x14ac:dyDescent="0.3">
      <c r="A4" s="28" t="s">
        <v>1091</v>
      </c>
      <c r="B4" s="37" t="s">
        <v>1092</v>
      </c>
      <c r="D4" s="33" t="s">
        <v>1093</v>
      </c>
      <c r="E4" s="34"/>
    </row>
    <row r="5" spans="1:8" ht="38.1" customHeight="1" x14ac:dyDescent="0.3">
      <c r="A5" s="28" t="s">
        <v>1094</v>
      </c>
      <c r="B5" s="38" t="s">
        <v>1095</v>
      </c>
      <c r="D5" s="33" t="s">
        <v>1096</v>
      </c>
      <c r="E5" s="34"/>
    </row>
    <row r="6" spans="1:8" ht="38.1" customHeight="1" x14ac:dyDescent="0.3">
      <c r="D6" s="33" t="s">
        <v>1097</v>
      </c>
      <c r="E6" s="34"/>
    </row>
    <row r="7" spans="1:8" ht="38.1" customHeight="1" x14ac:dyDescent="0.3">
      <c r="D7" s="33" t="s">
        <v>1098</v>
      </c>
      <c r="E7" s="34"/>
    </row>
    <row r="8" spans="1:8" ht="38.1" customHeight="1" x14ac:dyDescent="0.3">
      <c r="D8" s="33" t="s">
        <v>1099</v>
      </c>
      <c r="E8" s="34"/>
    </row>
    <row r="9" spans="1:8" ht="38.1" customHeight="1" x14ac:dyDescent="0.3">
      <c r="D9" s="33" t="s">
        <v>1090</v>
      </c>
      <c r="E9" s="34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9"/>
  <sheetViews>
    <sheetView workbookViewId="0">
      <selection activeCell="K7" sqref="K7"/>
    </sheetView>
  </sheetViews>
  <sheetFormatPr defaultColWidth="12" defaultRowHeight="14.4" x14ac:dyDescent="0.3"/>
  <cols>
    <col min="1" max="1" width="14.44140625" style="27" bestFit="1" customWidth="1"/>
    <col min="2" max="2" width="31.44140625" customWidth="1"/>
    <col min="3" max="3" width="12" customWidth="1"/>
    <col min="4" max="4" width="17" bestFit="1" customWidth="1"/>
    <col min="5" max="5" width="14.5546875" style="23" customWidth="1"/>
    <col min="8" max="8" width="17.6640625" customWidth="1"/>
    <col min="9" max="9" width="15.88671875" bestFit="1" customWidth="1"/>
  </cols>
  <sheetData>
    <row r="1" spans="1:11" x14ac:dyDescent="0.3">
      <c r="A1" s="17" t="s">
        <v>24</v>
      </c>
      <c r="B1" s="18" t="s">
        <v>25</v>
      </c>
      <c r="C1" s="18" t="s">
        <v>26</v>
      </c>
      <c r="D1" s="18" t="s">
        <v>27</v>
      </c>
      <c r="E1" s="19" t="s">
        <v>28</v>
      </c>
      <c r="I1" s="18" t="s">
        <v>24</v>
      </c>
      <c r="J1" s="18" t="s">
        <v>26</v>
      </c>
      <c r="K1" s="18" t="s">
        <v>26</v>
      </c>
    </row>
    <row r="2" spans="1:11" x14ac:dyDescent="0.3">
      <c r="A2" s="20" t="s">
        <v>29</v>
      </c>
      <c r="B2" s="21" t="s">
        <v>30</v>
      </c>
      <c r="C2" s="22">
        <v>40761</v>
      </c>
      <c r="D2" s="21" t="s">
        <v>31</v>
      </c>
      <c r="E2" s="23">
        <v>1017.69</v>
      </c>
      <c r="I2" s="20"/>
    </row>
    <row r="3" spans="1:11" x14ac:dyDescent="0.3">
      <c r="A3" s="20" t="s">
        <v>32</v>
      </c>
      <c r="B3" s="21" t="s">
        <v>33</v>
      </c>
      <c r="C3" s="22">
        <v>40773</v>
      </c>
      <c r="D3" s="21" t="s">
        <v>34</v>
      </c>
      <c r="E3" s="23">
        <v>1045.74</v>
      </c>
    </row>
    <row r="4" spans="1:11" x14ac:dyDescent="0.3">
      <c r="A4" s="20" t="s">
        <v>35</v>
      </c>
      <c r="B4" s="21" t="s">
        <v>36</v>
      </c>
      <c r="C4" s="22">
        <v>40756</v>
      </c>
      <c r="D4" s="21" t="s">
        <v>37</v>
      </c>
      <c r="E4" s="23">
        <v>1015.8</v>
      </c>
      <c r="H4" t="s">
        <v>38</v>
      </c>
    </row>
    <row r="5" spans="1:11" x14ac:dyDescent="0.3">
      <c r="A5" s="20" t="s">
        <v>35</v>
      </c>
      <c r="B5" s="21" t="s">
        <v>36</v>
      </c>
      <c r="C5" s="22">
        <v>40756</v>
      </c>
      <c r="D5" s="21" t="s">
        <v>39</v>
      </c>
      <c r="E5" s="23">
        <v>1015.91</v>
      </c>
      <c r="H5" t="s">
        <v>40</v>
      </c>
      <c r="I5" s="23"/>
    </row>
    <row r="6" spans="1:11" x14ac:dyDescent="0.3">
      <c r="A6" s="20" t="s">
        <v>35</v>
      </c>
      <c r="B6" s="21" t="s">
        <v>36</v>
      </c>
      <c r="C6" s="22">
        <v>40756</v>
      </c>
      <c r="D6" s="21" t="s">
        <v>41</v>
      </c>
      <c r="E6" s="23">
        <v>1016.3</v>
      </c>
    </row>
    <row r="7" spans="1:11" x14ac:dyDescent="0.3">
      <c r="A7" s="20" t="s">
        <v>35</v>
      </c>
      <c r="B7" s="21" t="s">
        <v>36</v>
      </c>
      <c r="C7" s="22">
        <v>40756</v>
      </c>
      <c r="D7" s="21" t="s">
        <v>42</v>
      </c>
      <c r="E7" s="23">
        <v>1015.44</v>
      </c>
    </row>
    <row r="8" spans="1:11" x14ac:dyDescent="0.3">
      <c r="A8" s="20" t="s">
        <v>35</v>
      </c>
      <c r="B8" s="21" t="s">
        <v>36</v>
      </c>
      <c r="C8" s="22">
        <v>40766</v>
      </c>
      <c r="D8" s="21" t="s">
        <v>43</v>
      </c>
      <c r="E8" s="23">
        <v>1015.57</v>
      </c>
    </row>
    <row r="9" spans="1:11" x14ac:dyDescent="0.3">
      <c r="A9" s="20" t="s">
        <v>44</v>
      </c>
      <c r="B9" s="21" t="s">
        <v>45</v>
      </c>
      <c r="C9" s="22">
        <v>40758</v>
      </c>
      <c r="D9" s="21" t="s">
        <v>46</v>
      </c>
      <c r="E9" s="23">
        <v>1029.8399999999999</v>
      </c>
    </row>
    <row r="10" spans="1:11" x14ac:dyDescent="0.3">
      <c r="A10" s="20" t="s">
        <v>44</v>
      </c>
      <c r="B10" s="21" t="s">
        <v>45</v>
      </c>
      <c r="C10" s="22">
        <v>40777</v>
      </c>
      <c r="D10" s="21" t="s">
        <v>47</v>
      </c>
      <c r="E10" s="23">
        <v>1027.72</v>
      </c>
    </row>
    <row r="11" spans="1:11" x14ac:dyDescent="0.3">
      <c r="A11" s="20" t="s">
        <v>48</v>
      </c>
      <c r="B11" s="21" t="s">
        <v>49</v>
      </c>
      <c r="C11" s="22">
        <v>40773</v>
      </c>
      <c r="D11" s="21" t="s">
        <v>50</v>
      </c>
      <c r="E11" s="23">
        <v>1016.44</v>
      </c>
    </row>
    <row r="12" spans="1:11" x14ac:dyDescent="0.3">
      <c r="A12" s="20" t="s">
        <v>51</v>
      </c>
      <c r="B12" s="21" t="s">
        <v>52</v>
      </c>
      <c r="C12" s="22">
        <v>40766</v>
      </c>
      <c r="D12" s="21" t="s">
        <v>53</v>
      </c>
      <c r="E12" s="23">
        <v>1016.16</v>
      </c>
    </row>
    <row r="13" spans="1:11" x14ac:dyDescent="0.3">
      <c r="A13" s="20" t="s">
        <v>51</v>
      </c>
      <c r="B13" s="21" t="s">
        <v>52</v>
      </c>
      <c r="C13" s="22">
        <v>40780</v>
      </c>
      <c r="D13" s="21" t="s">
        <v>54</v>
      </c>
      <c r="E13" s="23">
        <v>1016.6</v>
      </c>
    </row>
    <row r="14" spans="1:11" x14ac:dyDescent="0.3">
      <c r="A14" s="20" t="s">
        <v>51</v>
      </c>
      <c r="B14" s="21" t="s">
        <v>52</v>
      </c>
      <c r="C14" s="22">
        <v>40763</v>
      </c>
      <c r="D14" s="21" t="s">
        <v>55</v>
      </c>
      <c r="E14" s="23">
        <v>1017.76</v>
      </c>
    </row>
    <row r="15" spans="1:11" x14ac:dyDescent="0.3">
      <c r="A15" s="20" t="s">
        <v>51</v>
      </c>
      <c r="B15" s="21" t="s">
        <v>52</v>
      </c>
      <c r="C15" s="22">
        <v>40763</v>
      </c>
      <c r="D15" s="21" t="s">
        <v>56</v>
      </c>
      <c r="E15" s="23">
        <v>1015.89</v>
      </c>
    </row>
    <row r="16" spans="1:11" x14ac:dyDescent="0.3">
      <c r="A16" s="20" t="s">
        <v>57</v>
      </c>
      <c r="B16" s="21" t="s">
        <v>58</v>
      </c>
      <c r="C16" s="22">
        <v>40768</v>
      </c>
      <c r="D16" s="21" t="s">
        <v>59</v>
      </c>
      <c r="E16" s="23">
        <v>1032.73</v>
      </c>
    </row>
    <row r="17" spans="1:5" x14ac:dyDescent="0.3">
      <c r="A17" s="20" t="s">
        <v>51</v>
      </c>
      <c r="B17" s="21" t="s">
        <v>52</v>
      </c>
      <c r="C17" s="22">
        <v>40768</v>
      </c>
      <c r="D17" s="21" t="s">
        <v>60</v>
      </c>
      <c r="E17" s="23">
        <v>1015.13</v>
      </c>
    </row>
    <row r="18" spans="1:5" x14ac:dyDescent="0.3">
      <c r="A18" s="20" t="s">
        <v>57</v>
      </c>
      <c r="B18" s="21" t="s">
        <v>58</v>
      </c>
      <c r="C18" s="22">
        <v>40770</v>
      </c>
      <c r="D18" s="21" t="s">
        <v>61</v>
      </c>
      <c r="E18" s="23">
        <v>1049.94</v>
      </c>
    </row>
    <row r="19" spans="1:5" x14ac:dyDescent="0.3">
      <c r="A19" s="20" t="s">
        <v>51</v>
      </c>
      <c r="B19" s="21" t="s">
        <v>52</v>
      </c>
      <c r="C19" s="22">
        <v>40770</v>
      </c>
      <c r="D19" s="21" t="s">
        <v>62</v>
      </c>
      <c r="E19" s="23">
        <v>1016.18</v>
      </c>
    </row>
    <row r="20" spans="1:5" x14ac:dyDescent="0.3">
      <c r="A20" s="20" t="s">
        <v>63</v>
      </c>
      <c r="B20" s="21" t="s">
        <v>64</v>
      </c>
      <c r="C20" s="22">
        <v>40760</v>
      </c>
      <c r="D20" s="21" t="s">
        <v>65</v>
      </c>
      <c r="E20" s="23">
        <v>1015.64</v>
      </c>
    </row>
    <row r="21" spans="1:5" x14ac:dyDescent="0.3">
      <c r="A21" s="20" t="s">
        <v>63</v>
      </c>
      <c r="B21" s="21" t="s">
        <v>64</v>
      </c>
      <c r="C21" s="22">
        <v>40781</v>
      </c>
      <c r="D21" s="21" t="s">
        <v>66</v>
      </c>
      <c r="E21" s="23">
        <v>1017.06</v>
      </c>
    </row>
    <row r="22" spans="1:5" x14ac:dyDescent="0.3">
      <c r="A22" s="20" t="s">
        <v>63</v>
      </c>
      <c r="B22" s="21" t="s">
        <v>64</v>
      </c>
      <c r="C22" s="22">
        <v>40781</v>
      </c>
      <c r="D22" s="21" t="s">
        <v>67</v>
      </c>
      <c r="E22" s="23">
        <v>1018.92</v>
      </c>
    </row>
    <row r="23" spans="1:5" x14ac:dyDescent="0.3">
      <c r="A23" s="20" t="s">
        <v>68</v>
      </c>
      <c r="B23" s="21" t="s">
        <v>69</v>
      </c>
      <c r="C23" s="22">
        <v>40779</v>
      </c>
      <c r="D23" s="21" t="s">
        <v>70</v>
      </c>
      <c r="E23" s="23">
        <v>1023.32</v>
      </c>
    </row>
    <row r="24" spans="1:5" x14ac:dyDescent="0.3">
      <c r="A24" s="20" t="s">
        <v>71</v>
      </c>
      <c r="B24" s="21" t="s">
        <v>72</v>
      </c>
      <c r="C24" s="22">
        <v>40772</v>
      </c>
      <c r="D24" s="21" t="s">
        <v>73</v>
      </c>
      <c r="E24" s="23">
        <v>1018.83</v>
      </c>
    </row>
    <row r="25" spans="1:5" x14ac:dyDescent="0.3">
      <c r="A25" s="20" t="s">
        <v>74</v>
      </c>
      <c r="B25" s="21" t="s">
        <v>75</v>
      </c>
      <c r="C25" s="22">
        <v>40762</v>
      </c>
      <c r="D25" s="21" t="s">
        <v>76</v>
      </c>
      <c r="E25" s="23">
        <v>2644.49</v>
      </c>
    </row>
    <row r="26" spans="1:5" x14ac:dyDescent="0.3">
      <c r="A26" s="20" t="s">
        <v>74</v>
      </c>
      <c r="B26" s="21" t="s">
        <v>75</v>
      </c>
      <c r="C26" s="22">
        <v>40764</v>
      </c>
      <c r="D26" s="21" t="s">
        <v>77</v>
      </c>
      <c r="E26" s="23">
        <v>2226.04</v>
      </c>
    </row>
    <row r="27" spans="1:5" x14ac:dyDescent="0.3">
      <c r="A27" s="20" t="s">
        <v>74</v>
      </c>
      <c r="B27" s="21" t="s">
        <v>75</v>
      </c>
      <c r="C27" s="22">
        <v>40770</v>
      </c>
      <c r="D27" s="21" t="s">
        <v>78</v>
      </c>
      <c r="E27" s="23">
        <v>1019.4</v>
      </c>
    </row>
    <row r="28" spans="1:5" x14ac:dyDescent="0.3">
      <c r="A28" s="20" t="s">
        <v>74</v>
      </c>
      <c r="B28" s="21" t="s">
        <v>75</v>
      </c>
      <c r="C28" s="22">
        <v>40770</v>
      </c>
      <c r="D28" s="21" t="s">
        <v>79</v>
      </c>
      <c r="E28" s="23">
        <v>1051.3699999999999</v>
      </c>
    </row>
    <row r="29" spans="1:5" x14ac:dyDescent="0.3">
      <c r="A29" s="20" t="s">
        <v>74</v>
      </c>
      <c r="B29" s="21" t="s">
        <v>75</v>
      </c>
      <c r="C29" s="22">
        <v>40779</v>
      </c>
      <c r="D29" s="21" t="s">
        <v>80</v>
      </c>
      <c r="E29" s="23">
        <v>1497.58</v>
      </c>
    </row>
    <row r="30" spans="1:5" x14ac:dyDescent="0.3">
      <c r="A30" s="20" t="s">
        <v>74</v>
      </c>
      <c r="B30" s="21" t="s">
        <v>75</v>
      </c>
      <c r="C30" s="22">
        <v>40756</v>
      </c>
      <c r="D30" s="21" t="s">
        <v>81</v>
      </c>
      <c r="E30" s="23">
        <v>4270.84</v>
      </c>
    </row>
    <row r="31" spans="1:5" x14ac:dyDescent="0.3">
      <c r="A31" s="20" t="s">
        <v>74</v>
      </c>
      <c r="B31" s="21" t="s">
        <v>75</v>
      </c>
      <c r="C31" s="22">
        <v>40763</v>
      </c>
      <c r="D31" s="21" t="s">
        <v>82</v>
      </c>
      <c r="E31" s="23">
        <v>1576.22</v>
      </c>
    </row>
    <row r="32" spans="1:5" x14ac:dyDescent="0.3">
      <c r="A32" s="20" t="s">
        <v>74</v>
      </c>
      <c r="B32" s="21" t="s">
        <v>75</v>
      </c>
      <c r="C32" s="22">
        <v>40763</v>
      </c>
      <c r="D32" s="21" t="s">
        <v>83</v>
      </c>
      <c r="E32" s="23">
        <v>1473.95</v>
      </c>
    </row>
    <row r="33" spans="1:5" x14ac:dyDescent="0.3">
      <c r="A33" s="20" t="s">
        <v>74</v>
      </c>
      <c r="B33" s="21" t="s">
        <v>75</v>
      </c>
      <c r="C33" s="22">
        <v>40763</v>
      </c>
      <c r="D33" s="21" t="s">
        <v>84</v>
      </c>
      <c r="E33" s="23">
        <v>1982.1</v>
      </c>
    </row>
    <row r="34" spans="1:5" x14ac:dyDescent="0.3">
      <c r="A34" s="20" t="s">
        <v>74</v>
      </c>
      <c r="B34" s="21" t="s">
        <v>75</v>
      </c>
      <c r="C34" s="22">
        <v>40763</v>
      </c>
      <c r="D34" s="21" t="s">
        <v>85</v>
      </c>
      <c r="E34" s="23">
        <v>1169.08</v>
      </c>
    </row>
    <row r="35" spans="1:5" x14ac:dyDescent="0.3">
      <c r="A35" s="20" t="s">
        <v>74</v>
      </c>
      <c r="B35" s="21" t="s">
        <v>75</v>
      </c>
      <c r="C35" s="22">
        <v>40763</v>
      </c>
      <c r="D35" s="21" t="s">
        <v>86</v>
      </c>
      <c r="E35" s="23">
        <v>4270.84</v>
      </c>
    </row>
    <row r="36" spans="1:5" x14ac:dyDescent="0.3">
      <c r="A36" s="20" t="s">
        <v>74</v>
      </c>
      <c r="B36" s="21" t="s">
        <v>75</v>
      </c>
      <c r="C36" s="22">
        <v>40771</v>
      </c>
      <c r="D36" s="21" t="s">
        <v>87</v>
      </c>
      <c r="E36" s="23">
        <v>1746.1</v>
      </c>
    </row>
    <row r="37" spans="1:5" x14ac:dyDescent="0.3">
      <c r="A37" s="20" t="s">
        <v>74</v>
      </c>
      <c r="B37" s="21" t="s">
        <v>75</v>
      </c>
      <c r="C37" s="22">
        <v>40774</v>
      </c>
      <c r="D37" s="21" t="s">
        <v>88</v>
      </c>
      <c r="E37" s="23">
        <v>3157.72</v>
      </c>
    </row>
    <row r="38" spans="1:5" x14ac:dyDescent="0.3">
      <c r="A38" s="20" t="s">
        <v>74</v>
      </c>
      <c r="B38" s="21" t="s">
        <v>75</v>
      </c>
      <c r="C38" s="22">
        <v>40777</v>
      </c>
      <c r="D38" s="21" t="s">
        <v>89</v>
      </c>
      <c r="E38" s="23">
        <v>2592.2799999999997</v>
      </c>
    </row>
    <row r="39" spans="1:5" x14ac:dyDescent="0.3">
      <c r="A39" s="20" t="s">
        <v>74</v>
      </c>
      <c r="B39" s="21" t="s">
        <v>75</v>
      </c>
      <c r="C39" s="22">
        <v>40757</v>
      </c>
      <c r="D39" s="21" t="s">
        <v>90</v>
      </c>
      <c r="E39" s="23">
        <v>1421.7</v>
      </c>
    </row>
    <row r="40" spans="1:5" x14ac:dyDescent="0.3">
      <c r="A40" s="20" t="s">
        <v>74</v>
      </c>
      <c r="B40" s="21" t="s">
        <v>75</v>
      </c>
      <c r="C40" s="22">
        <v>40759</v>
      </c>
      <c r="D40" s="21" t="s">
        <v>91</v>
      </c>
      <c r="E40" s="23">
        <v>3193.12</v>
      </c>
    </row>
    <row r="41" spans="1:5" x14ac:dyDescent="0.3">
      <c r="A41" s="20" t="s">
        <v>74</v>
      </c>
      <c r="B41" s="21" t="s">
        <v>75</v>
      </c>
      <c r="C41" s="22">
        <v>40760</v>
      </c>
      <c r="D41" s="21" t="s">
        <v>92</v>
      </c>
      <c r="E41" s="23">
        <v>1154.52</v>
      </c>
    </row>
    <row r="42" spans="1:5" x14ac:dyDescent="0.3">
      <c r="A42" s="20" t="s">
        <v>74</v>
      </c>
      <c r="B42" s="21" t="s">
        <v>75</v>
      </c>
      <c r="C42" s="22">
        <v>40763</v>
      </c>
      <c r="D42" s="21" t="s">
        <v>93</v>
      </c>
      <c r="E42" s="23">
        <v>1601.23</v>
      </c>
    </row>
    <row r="43" spans="1:5" x14ac:dyDescent="0.3">
      <c r="A43" s="20" t="s">
        <v>74</v>
      </c>
      <c r="B43" s="21" t="s">
        <v>75</v>
      </c>
      <c r="C43" s="22">
        <v>40765</v>
      </c>
      <c r="D43" s="21" t="s">
        <v>94</v>
      </c>
      <c r="E43" s="23">
        <v>2410.0100000000002</v>
      </c>
    </row>
    <row r="44" spans="1:5" x14ac:dyDescent="0.3">
      <c r="A44" s="20" t="s">
        <v>74</v>
      </c>
      <c r="B44" s="21" t="s">
        <v>75</v>
      </c>
      <c r="C44" s="22">
        <v>40766</v>
      </c>
      <c r="D44" s="21" t="s">
        <v>95</v>
      </c>
      <c r="E44" s="23">
        <v>1843.22</v>
      </c>
    </row>
    <row r="45" spans="1:5" x14ac:dyDescent="0.3">
      <c r="A45" s="20" t="s">
        <v>74</v>
      </c>
      <c r="B45" s="21" t="s">
        <v>75</v>
      </c>
      <c r="C45" s="22">
        <v>40766</v>
      </c>
      <c r="D45" s="21" t="s">
        <v>96</v>
      </c>
      <c r="E45" s="23">
        <v>1366.9</v>
      </c>
    </row>
    <row r="46" spans="1:5" x14ac:dyDescent="0.3">
      <c r="A46" s="20" t="s">
        <v>74</v>
      </c>
      <c r="B46" s="21" t="s">
        <v>75</v>
      </c>
      <c r="C46" s="22">
        <v>40770</v>
      </c>
      <c r="D46" s="21" t="s">
        <v>97</v>
      </c>
      <c r="E46" s="23">
        <v>3934.51</v>
      </c>
    </row>
    <row r="47" spans="1:5" x14ac:dyDescent="0.3">
      <c r="A47" s="20" t="s">
        <v>74</v>
      </c>
      <c r="B47" s="21" t="s">
        <v>75</v>
      </c>
      <c r="C47" s="22">
        <v>40773</v>
      </c>
      <c r="D47" s="21" t="s">
        <v>98</v>
      </c>
      <c r="E47" s="23">
        <v>1292.53</v>
      </c>
    </row>
    <row r="48" spans="1:5" x14ac:dyDescent="0.3">
      <c r="A48" s="20" t="s">
        <v>74</v>
      </c>
      <c r="B48" s="21" t="s">
        <v>75</v>
      </c>
      <c r="C48" s="22">
        <v>40774</v>
      </c>
      <c r="D48" s="21" t="s">
        <v>99</v>
      </c>
      <c r="E48" s="23">
        <v>1583.53</v>
      </c>
    </row>
    <row r="49" spans="1:5" x14ac:dyDescent="0.3">
      <c r="A49" s="20" t="s">
        <v>74</v>
      </c>
      <c r="B49" s="21" t="s">
        <v>75</v>
      </c>
      <c r="C49" s="22">
        <v>40774</v>
      </c>
      <c r="D49" s="21" t="s">
        <v>100</v>
      </c>
      <c r="E49" s="23">
        <v>2061.37</v>
      </c>
    </row>
    <row r="50" spans="1:5" x14ac:dyDescent="0.3">
      <c r="A50" s="20" t="s">
        <v>74</v>
      </c>
      <c r="B50" s="21" t="s">
        <v>75</v>
      </c>
      <c r="C50" s="22">
        <v>40777</v>
      </c>
      <c r="D50" s="21" t="s">
        <v>101</v>
      </c>
      <c r="E50" s="23">
        <v>2883.76</v>
      </c>
    </row>
    <row r="51" spans="1:5" x14ac:dyDescent="0.3">
      <c r="A51" s="20" t="s">
        <v>74</v>
      </c>
      <c r="B51" s="21" t="s">
        <v>75</v>
      </c>
      <c r="C51" s="22">
        <v>40779</v>
      </c>
      <c r="D51" s="21" t="s">
        <v>102</v>
      </c>
      <c r="E51" s="23">
        <v>4490.87</v>
      </c>
    </row>
    <row r="52" spans="1:5" x14ac:dyDescent="0.3">
      <c r="A52" s="20" t="s">
        <v>74</v>
      </c>
      <c r="B52" s="21" t="s">
        <v>75</v>
      </c>
      <c r="C52" s="22">
        <v>40780</v>
      </c>
      <c r="D52" s="21" t="s">
        <v>103</v>
      </c>
      <c r="E52" s="23">
        <v>2002.65</v>
      </c>
    </row>
    <row r="53" spans="1:5" x14ac:dyDescent="0.3">
      <c r="A53" s="20" t="s">
        <v>74</v>
      </c>
      <c r="B53" s="21" t="s">
        <v>75</v>
      </c>
      <c r="C53" s="22">
        <v>40782</v>
      </c>
      <c r="D53" s="21" t="s">
        <v>104</v>
      </c>
      <c r="E53" s="23">
        <v>4273.75</v>
      </c>
    </row>
    <row r="54" spans="1:5" x14ac:dyDescent="0.3">
      <c r="A54" s="20" t="s">
        <v>74</v>
      </c>
      <c r="B54" s="21" t="s">
        <v>75</v>
      </c>
      <c r="C54" s="22">
        <v>40773</v>
      </c>
      <c r="D54" s="21" t="s">
        <v>105</v>
      </c>
      <c r="E54" s="23">
        <v>2322.3599999999997</v>
      </c>
    </row>
    <row r="55" spans="1:5" x14ac:dyDescent="0.3">
      <c r="A55" s="20" t="s">
        <v>74</v>
      </c>
      <c r="B55" s="21" t="s">
        <v>75</v>
      </c>
      <c r="C55" s="22">
        <v>40778</v>
      </c>
      <c r="D55" s="21" t="s">
        <v>106</v>
      </c>
      <c r="E55" s="23">
        <v>1129.3800000000001</v>
      </c>
    </row>
    <row r="56" spans="1:5" x14ac:dyDescent="0.3">
      <c r="A56" s="20" t="s">
        <v>74</v>
      </c>
      <c r="B56" s="21" t="s">
        <v>75</v>
      </c>
      <c r="C56" s="22">
        <v>40786</v>
      </c>
      <c r="D56" s="21" t="s">
        <v>107</v>
      </c>
      <c r="E56" s="23">
        <v>1615.48</v>
      </c>
    </row>
    <row r="57" spans="1:5" x14ac:dyDescent="0.3">
      <c r="A57" s="20" t="s">
        <v>74</v>
      </c>
      <c r="B57" s="21" t="s">
        <v>75</v>
      </c>
      <c r="C57" s="22">
        <v>40756</v>
      </c>
      <c r="D57" s="21" t="s">
        <v>108</v>
      </c>
      <c r="E57" s="23">
        <v>1635.1599999999999</v>
      </c>
    </row>
    <row r="58" spans="1:5" x14ac:dyDescent="0.3">
      <c r="A58" s="20" t="s">
        <v>74</v>
      </c>
      <c r="B58" s="21" t="s">
        <v>75</v>
      </c>
      <c r="C58" s="22">
        <v>40757</v>
      </c>
      <c r="D58" s="21" t="s">
        <v>109</v>
      </c>
      <c r="E58" s="23">
        <v>4115.8</v>
      </c>
    </row>
    <row r="59" spans="1:5" x14ac:dyDescent="0.3">
      <c r="A59" s="20" t="s">
        <v>74</v>
      </c>
      <c r="B59" s="21" t="s">
        <v>75</v>
      </c>
      <c r="C59" s="22">
        <v>40757</v>
      </c>
      <c r="D59" s="21" t="s">
        <v>110</v>
      </c>
      <c r="E59" s="23">
        <v>1480.12</v>
      </c>
    </row>
    <row r="60" spans="1:5" x14ac:dyDescent="0.3">
      <c r="A60" s="20" t="s">
        <v>74</v>
      </c>
      <c r="B60" s="21" t="s">
        <v>75</v>
      </c>
      <c r="C60" s="22">
        <v>40757</v>
      </c>
      <c r="D60" s="21" t="s">
        <v>111</v>
      </c>
      <c r="E60" s="23">
        <v>1067.58</v>
      </c>
    </row>
    <row r="61" spans="1:5" x14ac:dyDescent="0.3">
      <c r="A61" s="20" t="s">
        <v>74</v>
      </c>
      <c r="B61" s="21" t="s">
        <v>75</v>
      </c>
      <c r="C61" s="22">
        <v>40758</v>
      </c>
      <c r="D61" s="21" t="s">
        <v>112</v>
      </c>
      <c r="E61" s="23">
        <v>1104.05</v>
      </c>
    </row>
    <row r="62" spans="1:5" x14ac:dyDescent="0.3">
      <c r="A62" s="20" t="s">
        <v>113</v>
      </c>
      <c r="B62" s="21" t="s">
        <v>114</v>
      </c>
      <c r="C62" s="22">
        <v>40763</v>
      </c>
      <c r="D62" s="21" t="s">
        <v>115</v>
      </c>
      <c r="E62" s="23">
        <v>1214.44</v>
      </c>
    </row>
    <row r="63" spans="1:5" x14ac:dyDescent="0.3">
      <c r="A63" s="20" t="s">
        <v>113</v>
      </c>
      <c r="B63" s="21" t="s">
        <v>114</v>
      </c>
      <c r="C63" s="22">
        <v>40763</v>
      </c>
      <c r="D63" s="21" t="s">
        <v>116</v>
      </c>
      <c r="E63" s="23">
        <v>1221.48</v>
      </c>
    </row>
    <row r="64" spans="1:5" x14ac:dyDescent="0.3">
      <c r="A64" s="20" t="s">
        <v>113</v>
      </c>
      <c r="B64" s="21" t="s">
        <v>114</v>
      </c>
      <c r="C64" s="22">
        <v>40763</v>
      </c>
      <c r="D64" s="21" t="s">
        <v>117</v>
      </c>
      <c r="E64" s="23">
        <v>3438.5</v>
      </c>
    </row>
    <row r="65" spans="1:5" x14ac:dyDescent="0.3">
      <c r="A65" s="20" t="s">
        <v>113</v>
      </c>
      <c r="B65" s="21" t="s">
        <v>114</v>
      </c>
      <c r="C65" s="22">
        <v>40763</v>
      </c>
      <c r="D65" s="21" t="s">
        <v>118</v>
      </c>
      <c r="E65" s="23">
        <v>2340.35</v>
      </c>
    </row>
    <row r="66" spans="1:5" x14ac:dyDescent="0.3">
      <c r="A66" s="20" t="s">
        <v>113</v>
      </c>
      <c r="B66" s="21" t="s">
        <v>114</v>
      </c>
      <c r="C66" s="22">
        <v>40763</v>
      </c>
      <c r="D66" s="21" t="s">
        <v>119</v>
      </c>
      <c r="E66" s="23">
        <v>4001.1</v>
      </c>
    </row>
    <row r="67" spans="1:5" x14ac:dyDescent="0.3">
      <c r="A67" s="20" t="s">
        <v>113</v>
      </c>
      <c r="B67" s="21" t="s">
        <v>114</v>
      </c>
      <c r="C67" s="22">
        <v>40763</v>
      </c>
      <c r="D67" s="21" t="s">
        <v>120</v>
      </c>
      <c r="E67" s="23">
        <v>1972.5</v>
      </c>
    </row>
    <row r="68" spans="1:5" x14ac:dyDescent="0.3">
      <c r="A68" s="20" t="s">
        <v>113</v>
      </c>
      <c r="B68" s="21" t="s">
        <v>114</v>
      </c>
      <c r="C68" s="22">
        <v>40763</v>
      </c>
      <c r="D68" s="21" t="s">
        <v>121</v>
      </c>
      <c r="E68" s="23">
        <v>4141.75</v>
      </c>
    </row>
    <row r="69" spans="1:5" x14ac:dyDescent="0.3">
      <c r="A69" s="20" t="s">
        <v>113</v>
      </c>
      <c r="B69" s="21" t="s">
        <v>114</v>
      </c>
      <c r="C69" s="22">
        <v>40763</v>
      </c>
      <c r="D69" s="21" t="s">
        <v>122</v>
      </c>
      <c r="E69" s="23">
        <v>4801.7199999999993</v>
      </c>
    </row>
    <row r="70" spans="1:5" x14ac:dyDescent="0.3">
      <c r="A70" s="20" t="s">
        <v>113</v>
      </c>
      <c r="B70" s="21" t="s">
        <v>114</v>
      </c>
      <c r="C70" s="22">
        <v>40765</v>
      </c>
      <c r="D70" s="21" t="s">
        <v>123</v>
      </c>
      <c r="E70" s="23">
        <v>6424.59</v>
      </c>
    </row>
    <row r="71" spans="1:5" x14ac:dyDescent="0.3">
      <c r="A71" s="20" t="s">
        <v>113</v>
      </c>
      <c r="B71" s="21" t="s">
        <v>114</v>
      </c>
      <c r="C71" s="22">
        <v>40765</v>
      </c>
      <c r="D71" s="21" t="s">
        <v>124</v>
      </c>
      <c r="E71" s="23">
        <v>6424.59</v>
      </c>
    </row>
    <row r="72" spans="1:5" x14ac:dyDescent="0.3">
      <c r="A72" s="20" t="s">
        <v>113</v>
      </c>
      <c r="B72" s="21" t="s">
        <v>114</v>
      </c>
      <c r="C72" s="22">
        <v>40766</v>
      </c>
      <c r="D72" s="21" t="s">
        <v>125</v>
      </c>
      <c r="E72" s="23">
        <v>1423.26</v>
      </c>
    </row>
    <row r="73" spans="1:5" x14ac:dyDescent="0.3">
      <c r="A73" s="20" t="s">
        <v>113</v>
      </c>
      <c r="B73" s="21" t="s">
        <v>114</v>
      </c>
      <c r="C73" s="22">
        <v>40766</v>
      </c>
      <c r="D73" s="21" t="s">
        <v>126</v>
      </c>
      <c r="E73" s="23">
        <v>1437.34</v>
      </c>
    </row>
    <row r="74" spans="1:5" x14ac:dyDescent="0.3">
      <c r="A74" s="20" t="s">
        <v>113</v>
      </c>
      <c r="B74" s="21" t="s">
        <v>114</v>
      </c>
      <c r="C74" s="22">
        <v>40766</v>
      </c>
      <c r="D74" s="21" t="s">
        <v>127</v>
      </c>
      <c r="E74" s="23">
        <v>1423.26</v>
      </c>
    </row>
    <row r="75" spans="1:5" x14ac:dyDescent="0.3">
      <c r="A75" s="20" t="s">
        <v>113</v>
      </c>
      <c r="B75" s="21" t="s">
        <v>114</v>
      </c>
      <c r="C75" s="22">
        <v>40766</v>
      </c>
      <c r="D75" s="21" t="s">
        <v>128</v>
      </c>
      <c r="E75" s="23">
        <v>1437.34</v>
      </c>
    </row>
    <row r="76" spans="1:5" x14ac:dyDescent="0.3">
      <c r="A76" s="20" t="s">
        <v>113</v>
      </c>
      <c r="B76" s="21" t="s">
        <v>114</v>
      </c>
      <c r="C76" s="22">
        <v>40766</v>
      </c>
      <c r="D76" s="21" t="s">
        <v>129</v>
      </c>
      <c r="E76" s="23">
        <v>1831.52</v>
      </c>
    </row>
    <row r="77" spans="1:5" x14ac:dyDescent="0.3">
      <c r="A77" s="20" t="s">
        <v>113</v>
      </c>
      <c r="B77" s="21" t="s">
        <v>114</v>
      </c>
      <c r="C77" s="22">
        <v>40766</v>
      </c>
      <c r="D77" s="21" t="s">
        <v>130</v>
      </c>
      <c r="E77" s="23">
        <v>1859.6799999999998</v>
      </c>
    </row>
    <row r="78" spans="1:5" x14ac:dyDescent="0.3">
      <c r="A78" s="20" t="s">
        <v>113</v>
      </c>
      <c r="B78" s="21" t="s">
        <v>114</v>
      </c>
      <c r="C78" s="22">
        <v>40767</v>
      </c>
      <c r="D78" s="21" t="s">
        <v>131</v>
      </c>
      <c r="E78" s="23">
        <v>1718.9</v>
      </c>
    </row>
    <row r="79" spans="1:5" x14ac:dyDescent="0.3">
      <c r="A79" s="20" t="s">
        <v>113</v>
      </c>
      <c r="B79" s="21" t="s">
        <v>114</v>
      </c>
      <c r="C79" s="22">
        <v>40767</v>
      </c>
      <c r="D79" s="21" t="s">
        <v>132</v>
      </c>
      <c r="E79" s="23">
        <v>1695.44</v>
      </c>
    </row>
    <row r="80" spans="1:5" x14ac:dyDescent="0.3">
      <c r="A80" s="20" t="s">
        <v>113</v>
      </c>
      <c r="B80" s="21" t="s">
        <v>114</v>
      </c>
      <c r="C80" s="22">
        <v>40770</v>
      </c>
      <c r="D80" s="21" t="s">
        <v>133</v>
      </c>
      <c r="E80" s="23">
        <v>1578.12</v>
      </c>
    </row>
    <row r="81" spans="1:5" x14ac:dyDescent="0.3">
      <c r="A81" s="20" t="s">
        <v>113</v>
      </c>
      <c r="B81" s="21" t="s">
        <v>114</v>
      </c>
      <c r="C81" s="22">
        <v>40770</v>
      </c>
      <c r="D81" s="21" t="s">
        <v>134</v>
      </c>
      <c r="E81" s="23">
        <v>1559.35</v>
      </c>
    </row>
    <row r="82" spans="1:5" x14ac:dyDescent="0.3">
      <c r="A82" s="20" t="s">
        <v>113</v>
      </c>
      <c r="B82" s="21" t="s">
        <v>114</v>
      </c>
      <c r="C82" s="22">
        <v>40773</v>
      </c>
      <c r="D82" s="21" t="s">
        <v>135</v>
      </c>
      <c r="E82" s="23">
        <v>2282.02</v>
      </c>
    </row>
    <row r="83" spans="1:5" x14ac:dyDescent="0.3">
      <c r="A83" s="20" t="s">
        <v>113</v>
      </c>
      <c r="B83" s="21" t="s">
        <v>114</v>
      </c>
      <c r="C83" s="22">
        <v>40773</v>
      </c>
      <c r="D83" s="21" t="s">
        <v>136</v>
      </c>
      <c r="E83" s="23">
        <v>2141.2399999999998</v>
      </c>
    </row>
    <row r="84" spans="1:5" x14ac:dyDescent="0.3">
      <c r="A84" s="20" t="s">
        <v>113</v>
      </c>
      <c r="B84" s="21" t="s">
        <v>114</v>
      </c>
      <c r="C84" s="22">
        <v>40773</v>
      </c>
      <c r="D84" s="21" t="s">
        <v>137</v>
      </c>
      <c r="E84" s="23">
        <v>1322.84</v>
      </c>
    </row>
    <row r="85" spans="1:5" x14ac:dyDescent="0.3">
      <c r="A85" s="20" t="s">
        <v>113</v>
      </c>
      <c r="B85" s="21" t="s">
        <v>114</v>
      </c>
      <c r="C85" s="22">
        <v>40773</v>
      </c>
      <c r="D85" s="21" t="s">
        <v>138</v>
      </c>
      <c r="E85" s="23">
        <v>1482.31</v>
      </c>
    </row>
    <row r="86" spans="1:5" x14ac:dyDescent="0.3">
      <c r="A86" s="20" t="s">
        <v>113</v>
      </c>
      <c r="B86" s="21" t="s">
        <v>114</v>
      </c>
      <c r="C86" s="22">
        <v>40773</v>
      </c>
      <c r="D86" s="21" t="s">
        <v>139</v>
      </c>
      <c r="E86" s="23">
        <v>2334.16</v>
      </c>
    </row>
    <row r="87" spans="1:5" x14ac:dyDescent="0.3">
      <c r="A87" s="20" t="s">
        <v>113</v>
      </c>
      <c r="B87" s="21" t="s">
        <v>114</v>
      </c>
      <c r="C87" s="22">
        <v>40773</v>
      </c>
      <c r="D87" s="21" t="s">
        <v>140</v>
      </c>
      <c r="E87" s="23">
        <v>1147.1399999999999</v>
      </c>
    </row>
    <row r="88" spans="1:5" x14ac:dyDescent="0.3">
      <c r="A88" s="20" t="s">
        <v>113</v>
      </c>
      <c r="B88" s="21" t="s">
        <v>114</v>
      </c>
      <c r="C88" s="22">
        <v>40776</v>
      </c>
      <c r="D88" s="21" t="s">
        <v>141</v>
      </c>
      <c r="E88" s="23">
        <v>1840.9099999999999</v>
      </c>
    </row>
    <row r="89" spans="1:5" x14ac:dyDescent="0.3">
      <c r="A89" s="20" t="s">
        <v>113</v>
      </c>
      <c r="B89" s="21" t="s">
        <v>114</v>
      </c>
      <c r="C89" s="22">
        <v>40779</v>
      </c>
      <c r="D89" s="21" t="s">
        <v>142</v>
      </c>
      <c r="E89" s="23">
        <v>2271.9499999999998</v>
      </c>
    </row>
    <row r="90" spans="1:5" x14ac:dyDescent="0.3">
      <c r="A90" s="20" t="s">
        <v>113</v>
      </c>
      <c r="B90" s="21" t="s">
        <v>114</v>
      </c>
      <c r="C90" s="22">
        <v>40779</v>
      </c>
      <c r="D90" s="21" t="s">
        <v>143</v>
      </c>
      <c r="E90" s="23">
        <v>3457.43</v>
      </c>
    </row>
    <row r="91" spans="1:5" x14ac:dyDescent="0.3">
      <c r="A91" s="20" t="s">
        <v>113</v>
      </c>
      <c r="B91" s="21" t="s">
        <v>114</v>
      </c>
      <c r="C91" s="22">
        <v>40779</v>
      </c>
      <c r="D91" s="21" t="s">
        <v>144</v>
      </c>
      <c r="E91" s="23">
        <v>2486.35</v>
      </c>
    </row>
    <row r="92" spans="1:5" x14ac:dyDescent="0.3">
      <c r="A92" s="20" t="s">
        <v>113</v>
      </c>
      <c r="B92" s="21" t="s">
        <v>114</v>
      </c>
      <c r="C92" s="22">
        <v>40779</v>
      </c>
      <c r="D92" s="21" t="s">
        <v>145</v>
      </c>
      <c r="E92" s="23">
        <v>1585.94</v>
      </c>
    </row>
    <row r="93" spans="1:5" x14ac:dyDescent="0.3">
      <c r="A93" s="20" t="s">
        <v>113</v>
      </c>
      <c r="B93" s="21" t="s">
        <v>114</v>
      </c>
      <c r="C93" s="22">
        <v>40779</v>
      </c>
      <c r="D93" s="21" t="s">
        <v>146</v>
      </c>
      <c r="E93" s="23">
        <v>1516.85</v>
      </c>
    </row>
    <row r="94" spans="1:5" x14ac:dyDescent="0.3">
      <c r="A94" s="20" t="s">
        <v>113</v>
      </c>
      <c r="B94" s="21" t="s">
        <v>114</v>
      </c>
      <c r="C94" s="22">
        <v>40779</v>
      </c>
      <c r="D94" s="21" t="s">
        <v>147</v>
      </c>
      <c r="E94" s="23">
        <v>2141.2399999999998</v>
      </c>
    </row>
    <row r="95" spans="1:5" x14ac:dyDescent="0.3">
      <c r="A95" s="20" t="s">
        <v>113</v>
      </c>
      <c r="B95" s="21" t="s">
        <v>114</v>
      </c>
      <c r="C95" s="22">
        <v>40780</v>
      </c>
      <c r="D95" s="21" t="s">
        <v>148</v>
      </c>
      <c r="E95" s="23">
        <v>1252.8899999999999</v>
      </c>
    </row>
    <row r="96" spans="1:5" x14ac:dyDescent="0.3">
      <c r="A96" s="20" t="s">
        <v>113</v>
      </c>
      <c r="B96" s="21" t="s">
        <v>114</v>
      </c>
      <c r="C96" s="22">
        <v>40780</v>
      </c>
      <c r="D96" s="21" t="s">
        <v>149</v>
      </c>
      <c r="E96" s="23">
        <v>5597.38</v>
      </c>
    </row>
    <row r="97" spans="1:5" x14ac:dyDescent="0.3">
      <c r="A97" s="20" t="s">
        <v>113</v>
      </c>
      <c r="B97" s="21" t="s">
        <v>114</v>
      </c>
      <c r="C97" s="22">
        <v>40780</v>
      </c>
      <c r="D97" s="21" t="s">
        <v>150</v>
      </c>
      <c r="E97" s="23">
        <v>7221.83</v>
      </c>
    </row>
    <row r="98" spans="1:5" x14ac:dyDescent="0.3">
      <c r="A98" s="20" t="s">
        <v>113</v>
      </c>
      <c r="B98" s="21" t="s">
        <v>114</v>
      </c>
      <c r="C98" s="22">
        <v>40780</v>
      </c>
      <c r="D98" s="21" t="s">
        <v>151</v>
      </c>
      <c r="E98" s="23">
        <v>4773.04</v>
      </c>
    </row>
    <row r="99" spans="1:5" x14ac:dyDescent="0.3">
      <c r="A99" s="20" t="s">
        <v>113</v>
      </c>
      <c r="B99" s="21" t="s">
        <v>114</v>
      </c>
      <c r="C99" s="22">
        <v>40780</v>
      </c>
      <c r="D99" s="21" t="s">
        <v>152</v>
      </c>
      <c r="E99" s="23">
        <v>1871.4099999999999</v>
      </c>
    </row>
    <row r="100" spans="1:5" x14ac:dyDescent="0.3">
      <c r="A100" s="20" t="s">
        <v>113</v>
      </c>
      <c r="B100" s="21" t="s">
        <v>114</v>
      </c>
      <c r="C100" s="22">
        <v>40780</v>
      </c>
      <c r="D100" s="21" t="s">
        <v>153</v>
      </c>
      <c r="E100" s="23">
        <v>1767.78</v>
      </c>
    </row>
    <row r="101" spans="1:5" x14ac:dyDescent="0.3">
      <c r="A101" s="20" t="s">
        <v>113</v>
      </c>
      <c r="B101" s="21" t="s">
        <v>114</v>
      </c>
      <c r="C101" s="22">
        <v>40781</v>
      </c>
      <c r="D101" s="21" t="s">
        <v>154</v>
      </c>
      <c r="E101" s="23">
        <v>6995.01</v>
      </c>
    </row>
    <row r="102" spans="1:5" x14ac:dyDescent="0.3">
      <c r="A102" s="20" t="s">
        <v>113</v>
      </c>
      <c r="B102" s="21" t="s">
        <v>114</v>
      </c>
      <c r="C102" s="22">
        <v>40782</v>
      </c>
      <c r="D102" s="21" t="s">
        <v>155</v>
      </c>
      <c r="E102" s="23">
        <v>1070</v>
      </c>
    </row>
    <row r="103" spans="1:5" x14ac:dyDescent="0.3">
      <c r="A103" s="20" t="s">
        <v>113</v>
      </c>
      <c r="B103" s="21" t="s">
        <v>114</v>
      </c>
      <c r="C103" s="22">
        <v>40784</v>
      </c>
      <c r="D103" s="21" t="s">
        <v>156</v>
      </c>
      <c r="E103" s="23">
        <v>1020.61</v>
      </c>
    </row>
    <row r="104" spans="1:5" x14ac:dyDescent="0.3">
      <c r="A104" s="20" t="s">
        <v>157</v>
      </c>
      <c r="B104" s="21" t="s">
        <v>158</v>
      </c>
      <c r="C104" s="22">
        <v>40757</v>
      </c>
      <c r="D104" s="21" t="s">
        <v>159</v>
      </c>
      <c r="E104" s="23">
        <v>1034.19</v>
      </c>
    </row>
    <row r="105" spans="1:5" x14ac:dyDescent="0.3">
      <c r="A105" s="20" t="s">
        <v>160</v>
      </c>
      <c r="B105" s="21" t="s">
        <v>161</v>
      </c>
      <c r="C105" s="22">
        <v>40770</v>
      </c>
      <c r="D105" s="21" t="s">
        <v>162</v>
      </c>
      <c r="E105" s="23">
        <v>1019.88</v>
      </c>
    </row>
    <row r="106" spans="1:5" x14ac:dyDescent="0.3">
      <c r="A106" s="20" t="s">
        <v>163</v>
      </c>
      <c r="B106" s="21" t="s">
        <v>164</v>
      </c>
      <c r="C106" s="22">
        <v>40756</v>
      </c>
      <c r="D106" s="21" t="s">
        <v>165</v>
      </c>
      <c r="E106" s="23">
        <v>1017.83</v>
      </c>
    </row>
    <row r="107" spans="1:5" x14ac:dyDescent="0.3">
      <c r="A107" s="20" t="s">
        <v>166</v>
      </c>
      <c r="B107" s="21" t="s">
        <v>167</v>
      </c>
      <c r="C107" s="22">
        <v>40757</v>
      </c>
      <c r="D107" s="21" t="s">
        <v>168</v>
      </c>
      <c r="E107" s="23">
        <v>1015.47</v>
      </c>
    </row>
    <row r="108" spans="1:5" x14ac:dyDescent="0.3">
      <c r="A108" s="20" t="s">
        <v>166</v>
      </c>
      <c r="B108" s="21" t="s">
        <v>167</v>
      </c>
      <c r="C108" s="22">
        <v>40765</v>
      </c>
      <c r="D108" s="21" t="s">
        <v>169</v>
      </c>
      <c r="E108" s="23">
        <v>1114.29</v>
      </c>
    </row>
    <row r="109" spans="1:5" x14ac:dyDescent="0.3">
      <c r="A109" s="20" t="s">
        <v>170</v>
      </c>
      <c r="B109" s="21" t="s">
        <v>171</v>
      </c>
      <c r="C109" s="22">
        <v>40780</v>
      </c>
      <c r="D109" s="21" t="s">
        <v>172</v>
      </c>
      <c r="E109" s="23">
        <v>1020.19</v>
      </c>
    </row>
    <row r="110" spans="1:5" x14ac:dyDescent="0.3">
      <c r="A110" s="20" t="s">
        <v>170</v>
      </c>
      <c r="B110" s="21" t="s">
        <v>171</v>
      </c>
      <c r="C110" s="22">
        <v>40771</v>
      </c>
      <c r="D110" s="21" t="s">
        <v>173</v>
      </c>
      <c r="E110" s="23">
        <v>1017.78</v>
      </c>
    </row>
    <row r="111" spans="1:5" x14ac:dyDescent="0.3">
      <c r="A111" s="20" t="s">
        <v>174</v>
      </c>
      <c r="B111" s="21" t="s">
        <v>175</v>
      </c>
      <c r="C111" s="22">
        <v>40760</v>
      </c>
      <c r="D111" s="21" t="s">
        <v>176</v>
      </c>
      <c r="E111" s="23">
        <v>1019.35</v>
      </c>
    </row>
    <row r="112" spans="1:5" x14ac:dyDescent="0.3">
      <c r="A112" s="20" t="s">
        <v>177</v>
      </c>
      <c r="B112" s="21" t="s">
        <v>178</v>
      </c>
      <c r="C112" s="22">
        <v>40760</v>
      </c>
      <c r="D112" s="21" t="s">
        <v>179</v>
      </c>
      <c r="E112" s="23">
        <v>1058.5999999999999</v>
      </c>
    </row>
    <row r="113" spans="1:5" x14ac:dyDescent="0.3">
      <c r="A113" s="20" t="s">
        <v>180</v>
      </c>
      <c r="B113" s="21" t="s">
        <v>181</v>
      </c>
      <c r="C113" s="22">
        <v>40777</v>
      </c>
      <c r="D113" s="21" t="s">
        <v>182</v>
      </c>
      <c r="E113" s="23">
        <v>1017.64</v>
      </c>
    </row>
    <row r="114" spans="1:5" x14ac:dyDescent="0.3">
      <c r="A114" s="20" t="s">
        <v>183</v>
      </c>
      <c r="B114" s="21" t="s">
        <v>184</v>
      </c>
      <c r="C114" s="22">
        <v>40780</v>
      </c>
      <c r="D114" s="21" t="s">
        <v>185</v>
      </c>
      <c r="E114" s="23">
        <v>1023.19</v>
      </c>
    </row>
    <row r="115" spans="1:5" x14ac:dyDescent="0.3">
      <c r="A115" s="20" t="s">
        <v>186</v>
      </c>
      <c r="B115" s="21" t="s">
        <v>187</v>
      </c>
      <c r="C115" s="22">
        <v>40760</v>
      </c>
      <c r="D115" s="21" t="s">
        <v>188</v>
      </c>
      <c r="E115" s="23">
        <v>1018.22</v>
      </c>
    </row>
    <row r="116" spans="1:5" x14ac:dyDescent="0.3">
      <c r="A116" s="20" t="s">
        <v>186</v>
      </c>
      <c r="B116" s="21" t="s">
        <v>187</v>
      </c>
      <c r="C116" s="22">
        <v>40760</v>
      </c>
      <c r="D116" s="21" t="s">
        <v>189</v>
      </c>
      <c r="E116" s="23">
        <v>1023.75</v>
      </c>
    </row>
    <row r="117" spans="1:5" x14ac:dyDescent="0.3">
      <c r="A117" s="20" t="s">
        <v>186</v>
      </c>
      <c r="B117" s="21" t="s">
        <v>187</v>
      </c>
      <c r="C117" s="22">
        <v>40761</v>
      </c>
      <c r="D117" s="21" t="s">
        <v>190</v>
      </c>
      <c r="E117" s="23">
        <v>1022.34</v>
      </c>
    </row>
    <row r="118" spans="1:5" x14ac:dyDescent="0.3">
      <c r="A118" s="20" t="s">
        <v>191</v>
      </c>
      <c r="B118" s="21" t="s">
        <v>192</v>
      </c>
      <c r="C118" s="22">
        <v>40786</v>
      </c>
      <c r="D118" s="21" t="s">
        <v>193</v>
      </c>
      <c r="E118" s="23">
        <v>1020.89</v>
      </c>
    </row>
    <row r="119" spans="1:5" x14ac:dyDescent="0.3">
      <c r="A119" s="20" t="s">
        <v>191</v>
      </c>
      <c r="B119" s="21" t="s">
        <v>192</v>
      </c>
      <c r="C119" s="22">
        <v>40777</v>
      </c>
      <c r="D119" s="21" t="s">
        <v>194</v>
      </c>
      <c r="E119" s="23">
        <v>1022.92</v>
      </c>
    </row>
    <row r="120" spans="1:5" x14ac:dyDescent="0.3">
      <c r="A120" s="20" t="s">
        <v>195</v>
      </c>
      <c r="B120" s="21" t="s">
        <v>196</v>
      </c>
      <c r="C120" s="22">
        <v>40771</v>
      </c>
      <c r="D120" s="21" t="s">
        <v>197</v>
      </c>
      <c r="E120" s="23">
        <v>1027.3599999999999</v>
      </c>
    </row>
    <row r="121" spans="1:5" x14ac:dyDescent="0.3">
      <c r="A121" s="20" t="s">
        <v>195</v>
      </c>
      <c r="B121" s="21" t="s">
        <v>196</v>
      </c>
      <c r="C121" s="22">
        <v>40774</v>
      </c>
      <c r="D121" s="21" t="s">
        <v>198</v>
      </c>
      <c r="E121" s="23">
        <v>1021.03</v>
      </c>
    </row>
    <row r="122" spans="1:5" x14ac:dyDescent="0.3">
      <c r="A122" s="20" t="s">
        <v>195</v>
      </c>
      <c r="B122" s="21" t="s">
        <v>196</v>
      </c>
      <c r="C122" s="22">
        <v>40756</v>
      </c>
      <c r="D122" s="21" t="s">
        <v>199</v>
      </c>
      <c r="E122" s="23">
        <v>1018.86</v>
      </c>
    </row>
    <row r="123" spans="1:5" x14ac:dyDescent="0.3">
      <c r="A123" s="20" t="s">
        <v>195</v>
      </c>
      <c r="B123" s="21" t="s">
        <v>196</v>
      </c>
      <c r="C123" s="22">
        <v>40771</v>
      </c>
      <c r="D123" s="21" t="s">
        <v>200</v>
      </c>
      <c r="E123" s="23">
        <v>1018.74</v>
      </c>
    </row>
    <row r="124" spans="1:5" x14ac:dyDescent="0.3">
      <c r="A124" s="20" t="s">
        <v>195</v>
      </c>
      <c r="B124" s="21" t="s">
        <v>196</v>
      </c>
      <c r="C124" s="22">
        <v>40773</v>
      </c>
      <c r="D124" s="21" t="s">
        <v>201</v>
      </c>
      <c r="E124" s="23">
        <v>1015.88</v>
      </c>
    </row>
    <row r="125" spans="1:5" x14ac:dyDescent="0.3">
      <c r="A125" s="20" t="s">
        <v>195</v>
      </c>
      <c r="B125" s="21" t="s">
        <v>196</v>
      </c>
      <c r="C125" s="22">
        <v>40780</v>
      </c>
      <c r="D125" s="21" t="s">
        <v>202</v>
      </c>
      <c r="E125" s="23">
        <v>1017.98</v>
      </c>
    </row>
    <row r="126" spans="1:5" x14ac:dyDescent="0.3">
      <c r="A126" s="20" t="s">
        <v>203</v>
      </c>
      <c r="B126" s="21" t="s">
        <v>204</v>
      </c>
      <c r="C126" s="22">
        <v>40763</v>
      </c>
      <c r="D126" s="21" t="s">
        <v>205</v>
      </c>
      <c r="E126" s="23">
        <v>1015.25</v>
      </c>
    </row>
    <row r="127" spans="1:5" x14ac:dyDescent="0.3">
      <c r="A127" s="20" t="s">
        <v>206</v>
      </c>
      <c r="B127" s="21" t="s">
        <v>207</v>
      </c>
      <c r="C127" s="22">
        <v>40765</v>
      </c>
      <c r="D127" s="21" t="s">
        <v>208</v>
      </c>
      <c r="E127" s="23">
        <v>1051.29</v>
      </c>
    </row>
    <row r="128" spans="1:5" x14ac:dyDescent="0.3">
      <c r="A128" s="20" t="s">
        <v>203</v>
      </c>
      <c r="B128" s="21" t="s">
        <v>204</v>
      </c>
      <c r="C128" s="22">
        <v>40777</v>
      </c>
      <c r="D128" s="21" t="s">
        <v>209</v>
      </c>
      <c r="E128" s="23">
        <v>1022.76</v>
      </c>
    </row>
    <row r="129" spans="1:5" x14ac:dyDescent="0.3">
      <c r="A129" s="20" t="s">
        <v>210</v>
      </c>
      <c r="B129" s="21" t="s">
        <v>211</v>
      </c>
      <c r="C129" s="22">
        <v>40756</v>
      </c>
      <c r="D129" s="21" t="s">
        <v>212</v>
      </c>
      <c r="E129" s="23">
        <v>1015.29</v>
      </c>
    </row>
    <row r="130" spans="1:5" x14ac:dyDescent="0.3">
      <c r="A130" s="20" t="s">
        <v>210</v>
      </c>
      <c r="B130" s="21" t="s">
        <v>211</v>
      </c>
      <c r="C130" s="22">
        <v>40756</v>
      </c>
      <c r="D130" s="21" t="s">
        <v>213</v>
      </c>
      <c r="E130" s="23">
        <v>1015.33</v>
      </c>
    </row>
    <row r="131" spans="1:5" x14ac:dyDescent="0.3">
      <c r="A131" s="20" t="s">
        <v>210</v>
      </c>
      <c r="B131" s="21" t="s">
        <v>211</v>
      </c>
      <c r="C131" s="22">
        <v>40756</v>
      </c>
      <c r="D131" s="21" t="s">
        <v>214</v>
      </c>
      <c r="E131" s="23">
        <v>1016.02</v>
      </c>
    </row>
    <row r="132" spans="1:5" x14ac:dyDescent="0.3">
      <c r="A132" s="20" t="s">
        <v>215</v>
      </c>
      <c r="B132" s="21" t="s">
        <v>216</v>
      </c>
      <c r="C132" s="22">
        <v>40764</v>
      </c>
      <c r="D132" s="21" t="s">
        <v>217</v>
      </c>
      <c r="E132" s="23">
        <v>1015.41</v>
      </c>
    </row>
    <row r="133" spans="1:5" x14ac:dyDescent="0.3">
      <c r="A133" s="20" t="s">
        <v>215</v>
      </c>
      <c r="B133" s="21" t="s">
        <v>216</v>
      </c>
      <c r="C133" s="22">
        <v>40764</v>
      </c>
      <c r="D133" s="21" t="s">
        <v>218</v>
      </c>
      <c r="E133" s="23">
        <v>1022.52</v>
      </c>
    </row>
    <row r="134" spans="1:5" x14ac:dyDescent="0.3">
      <c r="A134" s="20" t="s">
        <v>215</v>
      </c>
      <c r="B134" s="21" t="s">
        <v>216</v>
      </c>
      <c r="C134" s="22">
        <v>40764</v>
      </c>
      <c r="D134" s="21" t="s">
        <v>219</v>
      </c>
      <c r="E134" s="23">
        <v>1020.16</v>
      </c>
    </row>
    <row r="135" spans="1:5" x14ac:dyDescent="0.3">
      <c r="A135" s="20" t="s">
        <v>215</v>
      </c>
      <c r="B135" s="21" t="s">
        <v>216</v>
      </c>
      <c r="C135" s="22">
        <v>40770</v>
      </c>
      <c r="D135" s="21" t="s">
        <v>220</v>
      </c>
      <c r="E135" s="23">
        <v>1017.65</v>
      </c>
    </row>
    <row r="136" spans="1:5" x14ac:dyDescent="0.3">
      <c r="A136" s="20" t="s">
        <v>215</v>
      </c>
      <c r="B136" s="21" t="s">
        <v>216</v>
      </c>
      <c r="C136" s="22">
        <v>40770</v>
      </c>
      <c r="D136" s="21" t="s">
        <v>221</v>
      </c>
      <c r="E136" s="23">
        <v>1019.64</v>
      </c>
    </row>
    <row r="137" spans="1:5" x14ac:dyDescent="0.3">
      <c r="A137" s="20" t="s">
        <v>215</v>
      </c>
      <c r="B137" s="21" t="s">
        <v>216</v>
      </c>
      <c r="C137" s="22">
        <v>40770</v>
      </c>
      <c r="D137" s="21" t="s">
        <v>222</v>
      </c>
      <c r="E137" s="23">
        <v>1024.8499999999999</v>
      </c>
    </row>
    <row r="138" spans="1:5" x14ac:dyDescent="0.3">
      <c r="A138" s="20" t="s">
        <v>215</v>
      </c>
      <c r="B138" s="21" t="s">
        <v>216</v>
      </c>
      <c r="C138" s="22">
        <v>40770</v>
      </c>
      <c r="D138" s="21" t="s">
        <v>223</v>
      </c>
      <c r="E138" s="23">
        <v>1017.68</v>
      </c>
    </row>
    <row r="139" spans="1:5" x14ac:dyDescent="0.3">
      <c r="A139" s="20" t="s">
        <v>215</v>
      </c>
      <c r="B139" s="21" t="s">
        <v>216</v>
      </c>
      <c r="C139" s="22">
        <v>40772</v>
      </c>
      <c r="D139" s="21" t="s">
        <v>224</v>
      </c>
      <c r="E139" s="23">
        <v>1016.22</v>
      </c>
    </row>
    <row r="140" spans="1:5" x14ac:dyDescent="0.3">
      <c r="A140" s="20" t="s">
        <v>225</v>
      </c>
      <c r="B140" s="21" t="s">
        <v>226</v>
      </c>
      <c r="C140" s="22">
        <v>40761</v>
      </c>
      <c r="D140" s="21" t="s">
        <v>227</v>
      </c>
      <c r="E140" s="23">
        <v>1025.3699999999999</v>
      </c>
    </row>
    <row r="141" spans="1:5" x14ac:dyDescent="0.3">
      <c r="A141" s="20" t="s">
        <v>225</v>
      </c>
      <c r="B141" s="21" t="s">
        <v>226</v>
      </c>
      <c r="C141" s="22">
        <v>40761</v>
      </c>
      <c r="D141" s="21" t="s">
        <v>228</v>
      </c>
      <c r="E141" s="23">
        <v>1025.8</v>
      </c>
    </row>
    <row r="142" spans="1:5" x14ac:dyDescent="0.3">
      <c r="A142" s="20" t="s">
        <v>229</v>
      </c>
      <c r="B142" s="21" t="s">
        <v>230</v>
      </c>
      <c r="C142" s="22">
        <v>40767</v>
      </c>
      <c r="D142" s="21" t="s">
        <v>231</v>
      </c>
      <c r="E142" s="23">
        <v>1022.24</v>
      </c>
    </row>
    <row r="143" spans="1:5" x14ac:dyDescent="0.3">
      <c r="A143" s="20" t="s">
        <v>225</v>
      </c>
      <c r="B143" s="21" t="s">
        <v>226</v>
      </c>
      <c r="C143" s="22">
        <v>40779</v>
      </c>
      <c r="D143" s="21" t="s">
        <v>232</v>
      </c>
      <c r="E143" s="23">
        <v>1021.71</v>
      </c>
    </row>
    <row r="144" spans="1:5" x14ac:dyDescent="0.3">
      <c r="A144" s="20" t="s">
        <v>225</v>
      </c>
      <c r="B144" s="21" t="s">
        <v>226</v>
      </c>
      <c r="C144" s="22">
        <v>40756</v>
      </c>
      <c r="D144" s="21" t="s">
        <v>233</v>
      </c>
      <c r="E144" s="23">
        <v>1015.08</v>
      </c>
    </row>
    <row r="145" spans="1:5" x14ac:dyDescent="0.3">
      <c r="A145" s="20" t="s">
        <v>225</v>
      </c>
      <c r="B145" s="21" t="s">
        <v>226</v>
      </c>
      <c r="C145" s="22">
        <v>40756</v>
      </c>
      <c r="D145" s="21" t="s">
        <v>234</v>
      </c>
      <c r="E145" s="23">
        <v>1015.42</v>
      </c>
    </row>
    <row r="146" spans="1:5" x14ac:dyDescent="0.3">
      <c r="A146" s="20" t="s">
        <v>225</v>
      </c>
      <c r="B146" s="21" t="s">
        <v>226</v>
      </c>
      <c r="C146" s="22">
        <v>40756</v>
      </c>
      <c r="D146" s="21" t="s">
        <v>235</v>
      </c>
      <c r="E146" s="23">
        <v>1015.46</v>
      </c>
    </row>
    <row r="147" spans="1:5" x14ac:dyDescent="0.3">
      <c r="A147" s="20" t="s">
        <v>225</v>
      </c>
      <c r="B147" s="21" t="s">
        <v>226</v>
      </c>
      <c r="C147" s="22">
        <v>40756</v>
      </c>
      <c r="D147" s="21" t="s">
        <v>236</v>
      </c>
      <c r="E147" s="23">
        <v>1015.15</v>
      </c>
    </row>
    <row r="148" spans="1:5" x14ac:dyDescent="0.3">
      <c r="A148" s="20" t="s">
        <v>225</v>
      </c>
      <c r="B148" s="21" t="s">
        <v>226</v>
      </c>
      <c r="C148" s="22">
        <v>40756</v>
      </c>
      <c r="D148" s="21" t="s">
        <v>237</v>
      </c>
      <c r="E148" s="23">
        <v>1015.69</v>
      </c>
    </row>
    <row r="149" spans="1:5" x14ac:dyDescent="0.3">
      <c r="A149" s="20" t="s">
        <v>225</v>
      </c>
      <c r="B149" s="21" t="s">
        <v>226</v>
      </c>
      <c r="C149" s="22">
        <v>40756</v>
      </c>
      <c r="D149" s="21" t="s">
        <v>238</v>
      </c>
      <c r="E149" s="23">
        <v>1015.37</v>
      </c>
    </row>
    <row r="150" spans="1:5" x14ac:dyDescent="0.3">
      <c r="A150" s="20" t="s">
        <v>239</v>
      </c>
      <c r="B150" s="21" t="s">
        <v>240</v>
      </c>
      <c r="C150" s="22">
        <v>40854</v>
      </c>
      <c r="D150" s="21" t="s">
        <v>241</v>
      </c>
      <c r="E150" s="23">
        <v>1019.64</v>
      </c>
    </row>
    <row r="151" spans="1:5" x14ac:dyDescent="0.3">
      <c r="A151" s="20" t="s">
        <v>225</v>
      </c>
      <c r="B151" s="21" t="s">
        <v>226</v>
      </c>
      <c r="C151" s="22">
        <v>40854</v>
      </c>
      <c r="D151" s="21" t="s">
        <v>242</v>
      </c>
      <c r="E151" s="23">
        <v>1015.51</v>
      </c>
    </row>
    <row r="152" spans="1:5" x14ac:dyDescent="0.3">
      <c r="A152" s="20" t="s">
        <v>229</v>
      </c>
      <c r="B152" s="21" t="s">
        <v>230</v>
      </c>
      <c r="C152" s="22">
        <v>40854</v>
      </c>
      <c r="D152" s="21" t="s">
        <v>243</v>
      </c>
      <c r="E152" s="23">
        <v>1016.97</v>
      </c>
    </row>
    <row r="153" spans="1:5" x14ac:dyDescent="0.3">
      <c r="A153" s="20" t="s">
        <v>239</v>
      </c>
      <c r="B153" s="21" t="s">
        <v>240</v>
      </c>
      <c r="C153" s="22">
        <v>40854</v>
      </c>
      <c r="D153" s="21" t="s">
        <v>244</v>
      </c>
      <c r="E153" s="23">
        <v>1018.22</v>
      </c>
    </row>
    <row r="154" spans="1:5" x14ac:dyDescent="0.3">
      <c r="A154" s="20" t="s">
        <v>225</v>
      </c>
      <c r="B154" s="21" t="s">
        <v>226</v>
      </c>
      <c r="C154" s="22">
        <v>40854</v>
      </c>
      <c r="D154" s="21" t="s">
        <v>245</v>
      </c>
      <c r="E154" s="23">
        <v>1016.86</v>
      </c>
    </row>
    <row r="155" spans="1:5" x14ac:dyDescent="0.3">
      <c r="A155" s="20" t="s">
        <v>225</v>
      </c>
      <c r="B155" s="21" t="s">
        <v>226</v>
      </c>
      <c r="C155" s="22">
        <v>40854</v>
      </c>
      <c r="D155" s="21" t="s">
        <v>246</v>
      </c>
      <c r="E155" s="23">
        <v>1015.79</v>
      </c>
    </row>
    <row r="156" spans="1:5" x14ac:dyDescent="0.3">
      <c r="A156" s="20" t="s">
        <v>225</v>
      </c>
      <c r="B156" s="21" t="s">
        <v>226</v>
      </c>
      <c r="C156" s="22">
        <v>40854</v>
      </c>
      <c r="D156" s="21" t="s">
        <v>247</v>
      </c>
      <c r="E156" s="23">
        <v>1015.22</v>
      </c>
    </row>
    <row r="157" spans="1:5" x14ac:dyDescent="0.3">
      <c r="A157" s="20" t="s">
        <v>239</v>
      </c>
      <c r="B157" s="21" t="s">
        <v>240</v>
      </c>
      <c r="C157" s="22">
        <v>40854</v>
      </c>
      <c r="D157" s="21" t="s">
        <v>248</v>
      </c>
      <c r="E157" s="23">
        <v>1019.39</v>
      </c>
    </row>
    <row r="158" spans="1:5" x14ac:dyDescent="0.3">
      <c r="A158" s="20" t="s">
        <v>239</v>
      </c>
      <c r="B158" s="21" t="s">
        <v>240</v>
      </c>
      <c r="C158" s="22">
        <v>40854</v>
      </c>
      <c r="D158" s="21" t="s">
        <v>249</v>
      </c>
      <c r="E158" s="23">
        <v>1021.39</v>
      </c>
    </row>
    <row r="159" spans="1:5" x14ac:dyDescent="0.3">
      <c r="A159" s="20" t="s">
        <v>239</v>
      </c>
      <c r="B159" s="21" t="s">
        <v>240</v>
      </c>
      <c r="C159" s="22">
        <v>40854</v>
      </c>
      <c r="D159" s="21" t="s">
        <v>250</v>
      </c>
      <c r="E159" s="23">
        <v>1024.92</v>
      </c>
    </row>
    <row r="160" spans="1:5" x14ac:dyDescent="0.3">
      <c r="A160" s="20" t="s">
        <v>239</v>
      </c>
      <c r="B160" s="21" t="s">
        <v>240</v>
      </c>
      <c r="C160" s="22">
        <v>40854</v>
      </c>
      <c r="D160" s="21" t="s">
        <v>251</v>
      </c>
      <c r="E160" s="23">
        <v>1015.27</v>
      </c>
    </row>
    <row r="161" spans="1:5" x14ac:dyDescent="0.3">
      <c r="A161" s="20" t="s">
        <v>239</v>
      </c>
      <c r="B161" s="21" t="s">
        <v>240</v>
      </c>
      <c r="C161" s="22">
        <v>40854</v>
      </c>
      <c r="D161" s="21" t="s">
        <v>252</v>
      </c>
      <c r="E161" s="23">
        <v>1016.06</v>
      </c>
    </row>
    <row r="162" spans="1:5" x14ac:dyDescent="0.3">
      <c r="A162" s="20" t="s">
        <v>225</v>
      </c>
      <c r="B162" s="21" t="s">
        <v>226</v>
      </c>
      <c r="C162" s="22">
        <v>40868</v>
      </c>
      <c r="D162" s="21" t="s">
        <v>253</v>
      </c>
      <c r="E162" s="23">
        <v>1015.12</v>
      </c>
    </row>
    <row r="163" spans="1:5" x14ac:dyDescent="0.3">
      <c r="A163" s="20" t="s">
        <v>239</v>
      </c>
      <c r="B163" s="21" t="s">
        <v>240</v>
      </c>
      <c r="C163" s="22">
        <v>40868</v>
      </c>
      <c r="D163" s="21" t="s">
        <v>254</v>
      </c>
      <c r="E163" s="23">
        <v>1017.54</v>
      </c>
    </row>
    <row r="164" spans="1:5" x14ac:dyDescent="0.3">
      <c r="A164" s="20" t="s">
        <v>239</v>
      </c>
      <c r="B164" s="21" t="s">
        <v>240</v>
      </c>
      <c r="C164" s="22">
        <v>40868</v>
      </c>
      <c r="D164" s="21" t="s">
        <v>255</v>
      </c>
      <c r="E164" s="23">
        <v>1018.45</v>
      </c>
    </row>
    <row r="165" spans="1:5" x14ac:dyDescent="0.3">
      <c r="A165" s="20" t="s">
        <v>239</v>
      </c>
      <c r="B165" s="21" t="s">
        <v>240</v>
      </c>
      <c r="C165" s="22">
        <v>40868</v>
      </c>
      <c r="D165" s="21" t="s">
        <v>256</v>
      </c>
      <c r="E165" s="23">
        <v>1030.71</v>
      </c>
    </row>
    <row r="166" spans="1:5" x14ac:dyDescent="0.3">
      <c r="A166" s="20" t="s">
        <v>239</v>
      </c>
      <c r="B166" s="21" t="s">
        <v>240</v>
      </c>
      <c r="C166" s="22">
        <v>40868</v>
      </c>
      <c r="D166" s="21" t="s">
        <v>257</v>
      </c>
      <c r="E166" s="23">
        <v>1016.64</v>
      </c>
    </row>
    <row r="167" spans="1:5" x14ac:dyDescent="0.3">
      <c r="A167" s="20" t="s">
        <v>239</v>
      </c>
      <c r="B167" s="21" t="s">
        <v>240</v>
      </c>
      <c r="C167" s="22">
        <v>40868</v>
      </c>
      <c r="D167" s="21" t="s">
        <v>258</v>
      </c>
      <c r="E167" s="23">
        <v>1015.87</v>
      </c>
    </row>
    <row r="168" spans="1:5" x14ac:dyDescent="0.3">
      <c r="A168" s="20" t="s">
        <v>239</v>
      </c>
      <c r="B168" s="21" t="s">
        <v>240</v>
      </c>
      <c r="C168" s="22">
        <v>40875</v>
      </c>
      <c r="D168" s="21" t="s">
        <v>259</v>
      </c>
      <c r="E168" s="23">
        <v>1016.64</v>
      </c>
    </row>
    <row r="169" spans="1:5" x14ac:dyDescent="0.3">
      <c r="A169" s="20" t="s">
        <v>239</v>
      </c>
      <c r="B169" s="21" t="s">
        <v>240</v>
      </c>
      <c r="C169" s="22">
        <v>40875</v>
      </c>
      <c r="D169" s="21" t="s">
        <v>260</v>
      </c>
      <c r="E169" s="23">
        <v>1019.13</v>
      </c>
    </row>
    <row r="170" spans="1:5" x14ac:dyDescent="0.3">
      <c r="A170" s="20" t="s">
        <v>239</v>
      </c>
      <c r="B170" s="21" t="s">
        <v>240</v>
      </c>
      <c r="C170" s="22">
        <v>40875</v>
      </c>
      <c r="D170" s="21" t="s">
        <v>261</v>
      </c>
      <c r="E170" s="23">
        <v>1022.9</v>
      </c>
    </row>
    <row r="171" spans="1:5" x14ac:dyDescent="0.3">
      <c r="A171" s="20" t="s">
        <v>239</v>
      </c>
      <c r="B171" s="21" t="s">
        <v>240</v>
      </c>
      <c r="C171" s="22">
        <v>40875</v>
      </c>
      <c r="D171" s="21" t="s">
        <v>262</v>
      </c>
      <c r="E171" s="23">
        <v>1019.14</v>
      </c>
    </row>
    <row r="172" spans="1:5" x14ac:dyDescent="0.3">
      <c r="A172" s="20" t="s">
        <v>239</v>
      </c>
      <c r="B172" s="21" t="s">
        <v>240</v>
      </c>
      <c r="C172" s="22">
        <v>40875</v>
      </c>
      <c r="D172" s="21" t="s">
        <v>263</v>
      </c>
      <c r="E172" s="23">
        <v>1017.58</v>
      </c>
    </row>
    <row r="173" spans="1:5" x14ac:dyDescent="0.3">
      <c r="A173" s="20" t="s">
        <v>264</v>
      </c>
      <c r="B173" s="21" t="s">
        <v>265</v>
      </c>
      <c r="C173" s="22">
        <v>40852</v>
      </c>
      <c r="D173" s="21" t="s">
        <v>266</v>
      </c>
      <c r="E173" s="23">
        <v>1033.05</v>
      </c>
    </row>
    <row r="174" spans="1:5" x14ac:dyDescent="0.3">
      <c r="A174" s="20" t="s">
        <v>264</v>
      </c>
      <c r="B174" s="21" t="s">
        <v>265</v>
      </c>
      <c r="C174" s="22">
        <v>40852</v>
      </c>
      <c r="D174" s="21" t="s">
        <v>267</v>
      </c>
      <c r="E174" s="23">
        <v>1015.93</v>
      </c>
    </row>
    <row r="175" spans="1:5" x14ac:dyDescent="0.3">
      <c r="A175" s="20" t="s">
        <v>268</v>
      </c>
      <c r="B175" s="21" t="s">
        <v>269</v>
      </c>
      <c r="C175" s="22">
        <v>40851</v>
      </c>
      <c r="D175" s="21" t="s">
        <v>270</v>
      </c>
      <c r="E175" s="23">
        <v>1019.76</v>
      </c>
    </row>
    <row r="176" spans="1:5" x14ac:dyDescent="0.3">
      <c r="A176" s="20" t="s">
        <v>268</v>
      </c>
      <c r="B176" s="21" t="s">
        <v>269</v>
      </c>
      <c r="C176" s="22">
        <v>40851</v>
      </c>
      <c r="D176" s="21" t="s">
        <v>271</v>
      </c>
      <c r="E176" s="23">
        <v>1024.72</v>
      </c>
    </row>
    <row r="177" spans="1:5" x14ac:dyDescent="0.3">
      <c r="A177" s="20" t="s">
        <v>268</v>
      </c>
      <c r="B177" s="21" t="s">
        <v>269</v>
      </c>
      <c r="C177" s="22">
        <v>40851</v>
      </c>
      <c r="D177" s="21" t="s">
        <v>272</v>
      </c>
      <c r="E177" s="23">
        <v>1022.72</v>
      </c>
    </row>
    <row r="178" spans="1:5" x14ac:dyDescent="0.3">
      <c r="A178" s="20" t="s">
        <v>268</v>
      </c>
      <c r="B178" s="21" t="s">
        <v>269</v>
      </c>
      <c r="C178" s="22">
        <v>40874</v>
      </c>
      <c r="D178" s="21" t="s">
        <v>273</v>
      </c>
      <c r="E178" s="23">
        <v>1020.91</v>
      </c>
    </row>
    <row r="179" spans="1:5" x14ac:dyDescent="0.3">
      <c r="A179" s="20" t="s">
        <v>274</v>
      </c>
      <c r="B179" s="21" t="s">
        <v>275</v>
      </c>
      <c r="C179" s="22">
        <v>40857</v>
      </c>
      <c r="D179" s="21" t="s">
        <v>276</v>
      </c>
      <c r="E179" s="23">
        <v>1443.8</v>
      </c>
    </row>
    <row r="180" spans="1:5" x14ac:dyDescent="0.3">
      <c r="A180" s="20" t="s">
        <v>277</v>
      </c>
      <c r="B180" s="21" t="s">
        <v>278</v>
      </c>
      <c r="C180" s="22">
        <v>40858</v>
      </c>
      <c r="D180" s="21" t="s">
        <v>279</v>
      </c>
      <c r="E180" s="23">
        <v>1482.52</v>
      </c>
    </row>
    <row r="181" spans="1:5" x14ac:dyDescent="0.3">
      <c r="A181" s="20" t="s">
        <v>280</v>
      </c>
      <c r="B181" s="21" t="s">
        <v>281</v>
      </c>
      <c r="C181" s="22">
        <v>40848</v>
      </c>
      <c r="D181" s="21" t="s">
        <v>282</v>
      </c>
      <c r="E181" s="23">
        <v>1017.53</v>
      </c>
    </row>
    <row r="182" spans="1:5" x14ac:dyDescent="0.3">
      <c r="A182" s="20" t="s">
        <v>277</v>
      </c>
      <c r="B182" s="21" t="s">
        <v>278</v>
      </c>
      <c r="C182" s="22">
        <v>40865</v>
      </c>
      <c r="D182" s="21" t="s">
        <v>283</v>
      </c>
      <c r="E182" s="23">
        <v>1502.95</v>
      </c>
    </row>
    <row r="183" spans="1:5" x14ac:dyDescent="0.3">
      <c r="A183" s="20" t="s">
        <v>284</v>
      </c>
      <c r="B183" s="21" t="s">
        <v>285</v>
      </c>
      <c r="C183" s="22">
        <v>40858</v>
      </c>
      <c r="D183" s="21" t="s">
        <v>286</v>
      </c>
      <c r="E183" s="23">
        <v>1016.02</v>
      </c>
    </row>
    <row r="184" spans="1:5" x14ac:dyDescent="0.3">
      <c r="A184" s="20" t="s">
        <v>284</v>
      </c>
      <c r="B184" s="21" t="s">
        <v>285</v>
      </c>
      <c r="C184" s="22">
        <v>40863</v>
      </c>
      <c r="D184" s="21" t="s">
        <v>287</v>
      </c>
      <c r="E184" s="23">
        <v>1015.46</v>
      </c>
    </row>
    <row r="185" spans="1:5" x14ac:dyDescent="0.3">
      <c r="A185" s="20" t="s">
        <v>284</v>
      </c>
      <c r="B185" s="21" t="s">
        <v>285</v>
      </c>
      <c r="C185" s="22">
        <v>40863</v>
      </c>
      <c r="D185" s="21" t="s">
        <v>288</v>
      </c>
      <c r="E185" s="23">
        <v>1022.19</v>
      </c>
    </row>
    <row r="186" spans="1:5" x14ac:dyDescent="0.3">
      <c r="A186" s="20" t="s">
        <v>284</v>
      </c>
      <c r="B186" s="21" t="s">
        <v>285</v>
      </c>
      <c r="C186" s="22">
        <v>40866</v>
      </c>
      <c r="D186" s="21" t="s">
        <v>289</v>
      </c>
      <c r="E186" s="23">
        <v>1026.1400000000001</v>
      </c>
    </row>
    <row r="187" spans="1:5" x14ac:dyDescent="0.3">
      <c r="A187" s="20" t="s">
        <v>290</v>
      </c>
      <c r="B187" s="21" t="s">
        <v>291</v>
      </c>
      <c r="C187" s="22">
        <v>40852</v>
      </c>
      <c r="D187" s="21" t="s">
        <v>292</v>
      </c>
      <c r="E187" s="23">
        <v>1022.72</v>
      </c>
    </row>
    <row r="188" spans="1:5" x14ac:dyDescent="0.3">
      <c r="A188" s="20" t="s">
        <v>290</v>
      </c>
      <c r="B188" s="21" t="s">
        <v>291</v>
      </c>
      <c r="C188" s="22">
        <v>40852</v>
      </c>
      <c r="D188" s="21" t="s">
        <v>293</v>
      </c>
      <c r="E188" s="23">
        <v>1021.24</v>
      </c>
    </row>
    <row r="189" spans="1:5" x14ac:dyDescent="0.3">
      <c r="A189" s="20" t="s">
        <v>290</v>
      </c>
      <c r="B189" s="21" t="s">
        <v>291</v>
      </c>
      <c r="C189" s="22">
        <v>40872</v>
      </c>
      <c r="D189" s="21" t="s">
        <v>294</v>
      </c>
      <c r="E189" s="23">
        <v>1015.21</v>
      </c>
    </row>
    <row r="190" spans="1:5" x14ac:dyDescent="0.3">
      <c r="A190" s="20" t="s">
        <v>290</v>
      </c>
      <c r="B190" s="21" t="s">
        <v>291</v>
      </c>
      <c r="C190" s="22">
        <v>40872</v>
      </c>
      <c r="D190" s="21" t="s">
        <v>295</v>
      </c>
      <c r="E190" s="23">
        <v>1023.46</v>
      </c>
    </row>
    <row r="191" spans="1:5" x14ac:dyDescent="0.3">
      <c r="A191" s="20" t="s">
        <v>296</v>
      </c>
      <c r="B191" s="21" t="s">
        <v>297</v>
      </c>
      <c r="C191" s="22">
        <v>40866</v>
      </c>
      <c r="D191" s="21" t="s">
        <v>298</v>
      </c>
      <c r="E191" s="23">
        <v>1057.55</v>
      </c>
    </row>
    <row r="192" spans="1:5" x14ac:dyDescent="0.3">
      <c r="A192" s="20" t="s">
        <v>299</v>
      </c>
      <c r="B192" s="21" t="s">
        <v>300</v>
      </c>
      <c r="C192" s="22">
        <v>40875</v>
      </c>
      <c r="D192" s="21" t="s">
        <v>301</v>
      </c>
      <c r="E192" s="23">
        <v>1017.59</v>
      </c>
    </row>
    <row r="193" spans="1:5" x14ac:dyDescent="0.3">
      <c r="A193" s="20" t="s">
        <v>299</v>
      </c>
      <c r="B193" s="21" t="s">
        <v>300</v>
      </c>
      <c r="C193" s="22">
        <v>40854</v>
      </c>
      <c r="D193" s="21" t="s">
        <v>302</v>
      </c>
      <c r="E193" s="23">
        <v>1015.55</v>
      </c>
    </row>
    <row r="194" spans="1:5" x14ac:dyDescent="0.3">
      <c r="A194" s="20" t="s">
        <v>299</v>
      </c>
      <c r="B194" s="21" t="s">
        <v>300</v>
      </c>
      <c r="C194" s="22">
        <v>40860</v>
      </c>
      <c r="D194" s="21" t="s">
        <v>303</v>
      </c>
      <c r="E194" s="23">
        <v>1018.59</v>
      </c>
    </row>
    <row r="195" spans="1:5" x14ac:dyDescent="0.3">
      <c r="A195" s="20" t="s">
        <v>304</v>
      </c>
      <c r="B195" s="21" t="s">
        <v>305</v>
      </c>
      <c r="C195" s="22">
        <v>40860</v>
      </c>
      <c r="D195" s="21" t="s">
        <v>306</v>
      </c>
      <c r="E195" s="23">
        <v>1029</v>
      </c>
    </row>
    <row r="196" spans="1:5" x14ac:dyDescent="0.3">
      <c r="A196" s="20" t="s">
        <v>299</v>
      </c>
      <c r="B196" s="21" t="s">
        <v>300</v>
      </c>
      <c r="C196" s="22">
        <v>40860</v>
      </c>
      <c r="D196" s="21" t="s">
        <v>307</v>
      </c>
      <c r="E196" s="23">
        <v>1020.53</v>
      </c>
    </row>
    <row r="197" spans="1:5" x14ac:dyDescent="0.3">
      <c r="A197" s="20" t="s">
        <v>304</v>
      </c>
      <c r="B197" s="21" t="s">
        <v>305</v>
      </c>
      <c r="C197" s="22">
        <v>40865</v>
      </c>
      <c r="D197" s="21" t="s">
        <v>308</v>
      </c>
      <c r="E197" s="23">
        <v>1016.97</v>
      </c>
    </row>
    <row r="198" spans="1:5" x14ac:dyDescent="0.3">
      <c r="A198" s="20" t="s">
        <v>299</v>
      </c>
      <c r="B198" s="21" t="s">
        <v>300</v>
      </c>
      <c r="C198" s="22">
        <v>40865</v>
      </c>
      <c r="D198" s="21" t="s">
        <v>309</v>
      </c>
      <c r="E198" s="23">
        <v>1018.7</v>
      </c>
    </row>
    <row r="199" spans="1:5" x14ac:dyDescent="0.3">
      <c r="A199" s="20" t="s">
        <v>310</v>
      </c>
      <c r="B199" s="21" t="s">
        <v>311</v>
      </c>
      <c r="C199" s="22">
        <v>40854</v>
      </c>
      <c r="D199" s="21" t="s">
        <v>312</v>
      </c>
      <c r="E199" s="23">
        <v>1016.01</v>
      </c>
    </row>
    <row r="200" spans="1:5" x14ac:dyDescent="0.3">
      <c r="A200" s="20" t="s">
        <v>310</v>
      </c>
      <c r="B200" s="21" t="s">
        <v>311</v>
      </c>
      <c r="C200" s="22">
        <v>40854</v>
      </c>
      <c r="D200" s="21" t="s">
        <v>313</v>
      </c>
      <c r="E200" s="23">
        <v>1021.21</v>
      </c>
    </row>
    <row r="201" spans="1:5" x14ac:dyDescent="0.3">
      <c r="A201" s="20" t="s">
        <v>314</v>
      </c>
      <c r="B201" s="21" t="s">
        <v>315</v>
      </c>
      <c r="C201" s="22">
        <v>40858</v>
      </c>
      <c r="D201" s="21" t="s">
        <v>316</v>
      </c>
      <c r="E201" s="23">
        <v>1016.36</v>
      </c>
    </row>
    <row r="202" spans="1:5" x14ac:dyDescent="0.3">
      <c r="A202" s="20" t="s">
        <v>317</v>
      </c>
      <c r="B202" s="21" t="s">
        <v>318</v>
      </c>
      <c r="C202" s="22">
        <v>40858</v>
      </c>
      <c r="D202" s="21" t="s">
        <v>319</v>
      </c>
      <c r="E202" s="23">
        <v>1016.7</v>
      </c>
    </row>
    <row r="203" spans="1:5" x14ac:dyDescent="0.3">
      <c r="A203" s="20" t="s">
        <v>320</v>
      </c>
      <c r="B203" s="21" t="s">
        <v>321</v>
      </c>
      <c r="C203" s="22">
        <v>40872</v>
      </c>
      <c r="D203" s="21" t="s">
        <v>322</v>
      </c>
      <c r="E203" s="23">
        <v>1089.07</v>
      </c>
    </row>
    <row r="204" spans="1:5" x14ac:dyDescent="0.3">
      <c r="A204" s="20" t="s">
        <v>320</v>
      </c>
      <c r="B204" s="21" t="s">
        <v>321</v>
      </c>
      <c r="C204" s="22">
        <v>40872</v>
      </c>
      <c r="D204" s="21" t="s">
        <v>323</v>
      </c>
      <c r="E204" s="23">
        <v>1082.26</v>
      </c>
    </row>
    <row r="205" spans="1:5" x14ac:dyDescent="0.3">
      <c r="A205" s="20" t="s">
        <v>324</v>
      </c>
      <c r="B205" s="21" t="s">
        <v>325</v>
      </c>
      <c r="C205" s="22">
        <v>40865</v>
      </c>
      <c r="D205" s="21" t="s">
        <v>326</v>
      </c>
      <c r="E205" s="23">
        <v>1015.71</v>
      </c>
    </row>
    <row r="206" spans="1:5" x14ac:dyDescent="0.3">
      <c r="A206" s="20" t="s">
        <v>327</v>
      </c>
      <c r="B206" s="21" t="s">
        <v>328</v>
      </c>
      <c r="C206" s="22">
        <v>40865</v>
      </c>
      <c r="D206" s="21" t="s">
        <v>329</v>
      </c>
      <c r="E206" s="23">
        <v>1015.94</v>
      </c>
    </row>
    <row r="207" spans="1:5" x14ac:dyDescent="0.3">
      <c r="A207" s="20" t="s">
        <v>330</v>
      </c>
      <c r="B207" s="21" t="s">
        <v>331</v>
      </c>
      <c r="C207" s="22">
        <v>40850</v>
      </c>
      <c r="D207" s="21" t="s">
        <v>332</v>
      </c>
      <c r="E207" s="23">
        <v>1043.3900000000001</v>
      </c>
    </row>
    <row r="208" spans="1:5" x14ac:dyDescent="0.3">
      <c r="A208" s="20" t="s">
        <v>333</v>
      </c>
      <c r="B208" s="21" t="s">
        <v>334</v>
      </c>
      <c r="C208" s="22">
        <v>40865</v>
      </c>
      <c r="D208" s="21" t="s">
        <v>335</v>
      </c>
      <c r="E208" s="23">
        <v>1015.78</v>
      </c>
    </row>
    <row r="209" spans="1:5" x14ac:dyDescent="0.3">
      <c r="A209" s="20" t="s">
        <v>336</v>
      </c>
      <c r="B209" s="21" t="s">
        <v>337</v>
      </c>
      <c r="C209" s="22">
        <v>40856</v>
      </c>
      <c r="D209" s="21" t="s">
        <v>338</v>
      </c>
      <c r="E209" s="23">
        <v>1018.84</v>
      </c>
    </row>
    <row r="210" spans="1:5" x14ac:dyDescent="0.3">
      <c r="A210" s="20" t="s">
        <v>339</v>
      </c>
      <c r="B210" s="21" t="s">
        <v>340</v>
      </c>
      <c r="C210" s="22">
        <v>40874</v>
      </c>
      <c r="D210" s="21" t="s">
        <v>341</v>
      </c>
      <c r="E210" s="23">
        <v>1015.64</v>
      </c>
    </row>
    <row r="211" spans="1:5" x14ac:dyDescent="0.3">
      <c r="A211" s="20" t="s">
        <v>342</v>
      </c>
      <c r="B211" s="21" t="s">
        <v>343</v>
      </c>
      <c r="C211" s="22">
        <v>40859</v>
      </c>
      <c r="D211" s="21" t="s">
        <v>344</v>
      </c>
      <c r="E211" s="23">
        <v>1049.42</v>
      </c>
    </row>
    <row r="212" spans="1:5" x14ac:dyDescent="0.3">
      <c r="A212" s="20" t="s">
        <v>342</v>
      </c>
      <c r="B212" s="21" t="s">
        <v>343</v>
      </c>
      <c r="C212" s="22">
        <v>40859</v>
      </c>
      <c r="D212" s="21" t="s">
        <v>345</v>
      </c>
      <c r="E212" s="23">
        <v>2351.5500000000002</v>
      </c>
    </row>
    <row r="213" spans="1:5" x14ac:dyDescent="0.3">
      <c r="A213" s="20" t="s">
        <v>342</v>
      </c>
      <c r="B213" s="21" t="s">
        <v>343</v>
      </c>
      <c r="C213" s="22">
        <v>40859</v>
      </c>
      <c r="D213" s="21" t="s">
        <v>346</v>
      </c>
      <c r="E213" s="23">
        <v>1027.96</v>
      </c>
    </row>
    <row r="214" spans="1:5" x14ac:dyDescent="0.3">
      <c r="A214" s="20" t="s">
        <v>342</v>
      </c>
      <c r="B214" s="21" t="s">
        <v>343</v>
      </c>
      <c r="C214" s="22">
        <v>40857</v>
      </c>
      <c r="D214" s="21" t="s">
        <v>347</v>
      </c>
      <c r="E214" s="23">
        <v>1345.79</v>
      </c>
    </row>
    <row r="215" spans="1:5" x14ac:dyDescent="0.3">
      <c r="A215" s="20" t="s">
        <v>342</v>
      </c>
      <c r="B215" s="21" t="s">
        <v>343</v>
      </c>
      <c r="C215" s="22">
        <v>40857</v>
      </c>
      <c r="D215" s="21" t="s">
        <v>348</v>
      </c>
      <c r="E215" s="23">
        <v>1314.74</v>
      </c>
    </row>
    <row r="216" spans="1:5" x14ac:dyDescent="0.3">
      <c r="A216" s="20" t="s">
        <v>342</v>
      </c>
      <c r="B216" s="21" t="s">
        <v>343</v>
      </c>
      <c r="C216" s="22">
        <v>40867</v>
      </c>
      <c r="D216" s="21" t="s">
        <v>349</v>
      </c>
      <c r="E216" s="23">
        <v>1296.06</v>
      </c>
    </row>
    <row r="217" spans="1:5" x14ac:dyDescent="0.3">
      <c r="A217" s="20" t="s">
        <v>350</v>
      </c>
      <c r="B217" s="21" t="s">
        <v>351</v>
      </c>
      <c r="C217" s="22">
        <v>40856</v>
      </c>
      <c r="D217" s="21" t="s">
        <v>352</v>
      </c>
      <c r="E217" s="23">
        <v>1018.44</v>
      </c>
    </row>
    <row r="218" spans="1:5" x14ac:dyDescent="0.3">
      <c r="A218" s="20" t="s">
        <v>350</v>
      </c>
      <c r="B218" s="21" t="s">
        <v>351</v>
      </c>
      <c r="C218" s="22">
        <v>40872</v>
      </c>
      <c r="D218" s="21" t="s">
        <v>353</v>
      </c>
      <c r="E218" s="23">
        <v>1016.44</v>
      </c>
    </row>
    <row r="219" spans="1:5" x14ac:dyDescent="0.3">
      <c r="A219" s="20" t="s">
        <v>350</v>
      </c>
      <c r="B219" s="21" t="s">
        <v>351</v>
      </c>
      <c r="C219" s="22">
        <v>40851</v>
      </c>
      <c r="D219" s="21" t="s">
        <v>354</v>
      </c>
      <c r="E219" s="23">
        <v>1026.29</v>
      </c>
    </row>
    <row r="220" spans="1:5" x14ac:dyDescent="0.3">
      <c r="A220" s="20" t="s">
        <v>350</v>
      </c>
      <c r="B220" s="21" t="s">
        <v>351</v>
      </c>
      <c r="C220" s="22">
        <v>40858</v>
      </c>
      <c r="D220" s="21" t="s">
        <v>355</v>
      </c>
      <c r="E220" s="23">
        <v>1016.79</v>
      </c>
    </row>
    <row r="221" spans="1:5" x14ac:dyDescent="0.3">
      <c r="A221" s="20" t="s">
        <v>356</v>
      </c>
      <c r="B221" s="21" t="s">
        <v>357</v>
      </c>
      <c r="C221" s="22">
        <v>40858</v>
      </c>
      <c r="D221" s="21" t="s">
        <v>358</v>
      </c>
      <c r="E221" s="23">
        <v>1017.11</v>
      </c>
    </row>
    <row r="222" spans="1:5" x14ac:dyDescent="0.3">
      <c r="A222" s="20" t="s">
        <v>356</v>
      </c>
      <c r="B222" s="21" t="s">
        <v>357</v>
      </c>
      <c r="C222" s="22">
        <v>40866</v>
      </c>
      <c r="D222" s="21" t="s">
        <v>359</v>
      </c>
      <c r="E222" s="23">
        <v>1022.31</v>
      </c>
    </row>
    <row r="223" spans="1:5" x14ac:dyDescent="0.3">
      <c r="A223" s="20" t="s">
        <v>350</v>
      </c>
      <c r="B223" s="21" t="s">
        <v>351</v>
      </c>
      <c r="C223" s="22">
        <v>40866</v>
      </c>
      <c r="D223" s="21" t="s">
        <v>360</v>
      </c>
      <c r="E223" s="23">
        <v>1015.24</v>
      </c>
    </row>
    <row r="224" spans="1:5" x14ac:dyDescent="0.3">
      <c r="A224" s="20" t="s">
        <v>361</v>
      </c>
      <c r="B224" s="21" t="s">
        <v>362</v>
      </c>
      <c r="C224" s="22">
        <v>40852</v>
      </c>
      <c r="D224" s="21" t="s">
        <v>363</v>
      </c>
      <c r="E224" s="23">
        <v>1015.36</v>
      </c>
    </row>
    <row r="225" spans="1:5" x14ac:dyDescent="0.3">
      <c r="A225" s="20" t="s">
        <v>364</v>
      </c>
      <c r="B225" s="21" t="s">
        <v>365</v>
      </c>
      <c r="C225" s="22">
        <v>40853</v>
      </c>
      <c r="D225" s="21" t="s">
        <v>366</v>
      </c>
      <c r="E225" s="23">
        <v>1015.54</v>
      </c>
    </row>
    <row r="226" spans="1:5" x14ac:dyDescent="0.3">
      <c r="A226" s="20" t="s">
        <v>364</v>
      </c>
      <c r="B226" s="21" t="s">
        <v>365</v>
      </c>
      <c r="C226" s="22">
        <v>40869</v>
      </c>
      <c r="D226" s="21" t="s">
        <v>367</v>
      </c>
      <c r="E226" s="23">
        <v>1019.06</v>
      </c>
    </row>
    <row r="227" spans="1:5" x14ac:dyDescent="0.3">
      <c r="A227" s="20" t="s">
        <v>368</v>
      </c>
      <c r="B227" s="21" t="s">
        <v>369</v>
      </c>
      <c r="C227" s="22">
        <v>40872</v>
      </c>
      <c r="D227" s="21" t="s">
        <v>370</v>
      </c>
      <c r="E227" s="23">
        <v>1015.85</v>
      </c>
    </row>
    <row r="228" spans="1:5" x14ac:dyDescent="0.3">
      <c r="A228" s="20" t="s">
        <v>371</v>
      </c>
      <c r="B228" s="21" t="s">
        <v>372</v>
      </c>
      <c r="C228" s="22">
        <v>40848</v>
      </c>
      <c r="D228" s="21" t="s">
        <v>373</v>
      </c>
      <c r="E228" s="23">
        <v>1015.12</v>
      </c>
    </row>
    <row r="229" spans="1:5" x14ac:dyDescent="0.3">
      <c r="A229" s="20" t="s">
        <v>374</v>
      </c>
      <c r="B229" s="21" t="s">
        <v>375</v>
      </c>
      <c r="C229" s="22">
        <v>40858</v>
      </c>
      <c r="D229" s="21" t="s">
        <v>376</v>
      </c>
      <c r="E229" s="23">
        <v>2032.22</v>
      </c>
    </row>
    <row r="230" spans="1:5" x14ac:dyDescent="0.3">
      <c r="A230" s="20" t="s">
        <v>374</v>
      </c>
      <c r="B230" s="21" t="s">
        <v>375</v>
      </c>
      <c r="C230" s="22">
        <v>40858</v>
      </c>
      <c r="D230" s="21" t="s">
        <v>377</v>
      </c>
      <c r="E230" s="23">
        <v>1777.9099999999999</v>
      </c>
    </row>
    <row r="231" spans="1:5" x14ac:dyDescent="0.3">
      <c r="A231" s="20" t="s">
        <v>374</v>
      </c>
      <c r="B231" s="21" t="s">
        <v>375</v>
      </c>
      <c r="C231" s="22">
        <v>40858</v>
      </c>
      <c r="D231" s="21" t="s">
        <v>378</v>
      </c>
      <c r="E231" s="23">
        <v>1777.9099999999999</v>
      </c>
    </row>
    <row r="232" spans="1:5" x14ac:dyDescent="0.3">
      <c r="A232" s="20" t="s">
        <v>374</v>
      </c>
      <c r="B232" s="21" t="s">
        <v>375</v>
      </c>
      <c r="C232" s="22">
        <v>40869</v>
      </c>
      <c r="D232" s="21" t="s">
        <v>379</v>
      </c>
      <c r="E232" s="23">
        <v>2620.23</v>
      </c>
    </row>
    <row r="233" spans="1:5" x14ac:dyDescent="0.3">
      <c r="A233" s="20" t="s">
        <v>380</v>
      </c>
      <c r="B233" s="21" t="s">
        <v>381</v>
      </c>
      <c r="C233" s="22">
        <v>40848</v>
      </c>
      <c r="D233" s="21" t="s">
        <v>382</v>
      </c>
      <c r="E233" s="23">
        <v>1024.02</v>
      </c>
    </row>
    <row r="234" spans="1:5" x14ac:dyDescent="0.3">
      <c r="A234" s="20" t="s">
        <v>380</v>
      </c>
      <c r="B234" s="21" t="s">
        <v>381</v>
      </c>
      <c r="C234" s="22">
        <v>40849</v>
      </c>
      <c r="D234" s="21" t="s">
        <v>383</v>
      </c>
      <c r="E234" s="23">
        <v>1026.96</v>
      </c>
    </row>
    <row r="235" spans="1:5" x14ac:dyDescent="0.3">
      <c r="A235" s="20" t="s">
        <v>384</v>
      </c>
      <c r="B235" s="21" t="s">
        <v>385</v>
      </c>
      <c r="C235" s="22">
        <v>40850</v>
      </c>
      <c r="D235" s="21" t="s">
        <v>386</v>
      </c>
      <c r="E235" s="23">
        <v>1041.06</v>
      </c>
    </row>
    <row r="236" spans="1:5" x14ac:dyDescent="0.3">
      <c r="A236" s="20" t="s">
        <v>387</v>
      </c>
      <c r="B236" s="21" t="s">
        <v>388</v>
      </c>
      <c r="C236" s="22">
        <v>40858</v>
      </c>
      <c r="D236" s="21" t="s">
        <v>389</v>
      </c>
      <c r="E236" s="23">
        <v>1017.04</v>
      </c>
    </row>
    <row r="237" spans="1:5" x14ac:dyDescent="0.3">
      <c r="A237" s="20" t="s">
        <v>387</v>
      </c>
      <c r="B237" s="21" t="s">
        <v>388</v>
      </c>
      <c r="C237" s="22">
        <v>40858</v>
      </c>
      <c r="D237" s="21" t="s">
        <v>390</v>
      </c>
      <c r="E237" s="23">
        <v>1017.8</v>
      </c>
    </row>
    <row r="238" spans="1:5" x14ac:dyDescent="0.3">
      <c r="A238" s="20" t="s">
        <v>387</v>
      </c>
      <c r="B238" s="21" t="s">
        <v>388</v>
      </c>
      <c r="C238" s="22">
        <v>40858</v>
      </c>
      <c r="D238" s="21" t="s">
        <v>391</v>
      </c>
      <c r="E238" s="23">
        <v>1033.44</v>
      </c>
    </row>
    <row r="239" spans="1:5" x14ac:dyDescent="0.3">
      <c r="A239" s="20" t="s">
        <v>387</v>
      </c>
      <c r="B239" s="21" t="s">
        <v>388</v>
      </c>
      <c r="C239" s="22">
        <v>40858</v>
      </c>
      <c r="D239" s="21" t="s">
        <v>392</v>
      </c>
      <c r="E239" s="23">
        <v>1151.93</v>
      </c>
    </row>
    <row r="240" spans="1:5" x14ac:dyDescent="0.3">
      <c r="A240" s="20" t="s">
        <v>387</v>
      </c>
      <c r="B240" s="21" t="s">
        <v>388</v>
      </c>
      <c r="C240" s="22">
        <v>40858</v>
      </c>
      <c r="D240" s="21" t="s">
        <v>393</v>
      </c>
      <c r="E240" s="23">
        <v>1093.53</v>
      </c>
    </row>
    <row r="241" spans="1:5" x14ac:dyDescent="0.3">
      <c r="A241" s="20" t="s">
        <v>387</v>
      </c>
      <c r="B241" s="21" t="s">
        <v>388</v>
      </c>
      <c r="C241" s="22">
        <v>40852</v>
      </c>
      <c r="D241" s="21" t="s">
        <v>394</v>
      </c>
      <c r="E241" s="23">
        <v>1047.3599999999999</v>
      </c>
    </row>
    <row r="242" spans="1:5" x14ac:dyDescent="0.3">
      <c r="A242" s="20" t="s">
        <v>387</v>
      </c>
      <c r="B242" s="21" t="s">
        <v>388</v>
      </c>
      <c r="C242" s="22">
        <v>40856</v>
      </c>
      <c r="D242" s="21" t="s">
        <v>395</v>
      </c>
      <c r="E242" s="23">
        <v>1015.2</v>
      </c>
    </row>
    <row r="243" spans="1:5" x14ac:dyDescent="0.3">
      <c r="A243" s="20" t="s">
        <v>387</v>
      </c>
      <c r="B243" s="21" t="s">
        <v>388</v>
      </c>
      <c r="C243" s="22">
        <v>40862</v>
      </c>
      <c r="D243" s="21" t="s">
        <v>396</v>
      </c>
      <c r="E243" s="23">
        <v>1016.29</v>
      </c>
    </row>
    <row r="244" spans="1:5" x14ac:dyDescent="0.3">
      <c r="A244" s="20" t="s">
        <v>397</v>
      </c>
      <c r="B244" s="21" t="s">
        <v>398</v>
      </c>
      <c r="C244" s="22">
        <v>40848</v>
      </c>
      <c r="D244" s="21" t="s">
        <v>399</v>
      </c>
      <c r="E244" s="23">
        <v>1017.4</v>
      </c>
    </row>
    <row r="245" spans="1:5" x14ac:dyDescent="0.3">
      <c r="A245" s="20" t="s">
        <v>397</v>
      </c>
      <c r="B245" s="21" t="s">
        <v>398</v>
      </c>
      <c r="C245" s="22">
        <v>40859</v>
      </c>
      <c r="D245" s="21" t="s">
        <v>400</v>
      </c>
      <c r="E245" s="23">
        <v>1016.34</v>
      </c>
    </row>
    <row r="246" spans="1:5" x14ac:dyDescent="0.3">
      <c r="A246" s="20" t="s">
        <v>401</v>
      </c>
      <c r="B246" s="21" t="s">
        <v>402</v>
      </c>
      <c r="C246" s="22">
        <v>40863</v>
      </c>
      <c r="D246" s="21" t="s">
        <v>403</v>
      </c>
      <c r="E246" s="23">
        <v>1038.48</v>
      </c>
    </row>
    <row r="247" spans="1:5" x14ac:dyDescent="0.3">
      <c r="A247" s="20" t="s">
        <v>401</v>
      </c>
      <c r="B247" s="21" t="s">
        <v>402</v>
      </c>
      <c r="C247" s="22">
        <v>40863</v>
      </c>
      <c r="D247" s="21" t="s">
        <v>404</v>
      </c>
      <c r="E247" s="23">
        <v>1015.68</v>
      </c>
    </row>
    <row r="248" spans="1:5" x14ac:dyDescent="0.3">
      <c r="A248" s="20" t="s">
        <v>405</v>
      </c>
      <c r="B248" s="21" t="s">
        <v>406</v>
      </c>
      <c r="C248" s="22">
        <v>40870</v>
      </c>
      <c r="D248" s="21" t="s">
        <v>407</v>
      </c>
      <c r="E248" s="23">
        <v>1024.1500000000001</v>
      </c>
    </row>
    <row r="249" spans="1:5" x14ac:dyDescent="0.3">
      <c r="A249" s="20" t="s">
        <v>408</v>
      </c>
      <c r="B249" s="21" t="s">
        <v>409</v>
      </c>
      <c r="C249" s="22">
        <v>40851</v>
      </c>
      <c r="D249" s="21" t="s">
        <v>410</v>
      </c>
      <c r="E249" s="23">
        <v>1433.68</v>
      </c>
    </row>
    <row r="250" spans="1:5" x14ac:dyDescent="0.3">
      <c r="A250" s="20" t="s">
        <v>408</v>
      </c>
      <c r="B250" s="21" t="s">
        <v>409</v>
      </c>
      <c r="C250" s="22">
        <v>40851</v>
      </c>
      <c r="D250" s="21" t="s">
        <v>411</v>
      </c>
      <c r="E250" s="23">
        <v>1224.2</v>
      </c>
    </row>
    <row r="251" spans="1:5" x14ac:dyDescent="0.3">
      <c r="A251" s="20" t="s">
        <v>412</v>
      </c>
      <c r="B251" s="21" t="s">
        <v>413</v>
      </c>
      <c r="C251" s="22">
        <v>40853</v>
      </c>
      <c r="D251" s="21" t="s">
        <v>414</v>
      </c>
      <c r="E251" s="23">
        <v>1021.12</v>
      </c>
    </row>
    <row r="252" spans="1:5" x14ac:dyDescent="0.3">
      <c r="A252" s="20" t="s">
        <v>415</v>
      </c>
      <c r="B252" s="21" t="s">
        <v>416</v>
      </c>
      <c r="C252" s="22">
        <v>40848</v>
      </c>
      <c r="D252" s="21" t="s">
        <v>417</v>
      </c>
      <c r="E252" s="23">
        <v>1016.85</v>
      </c>
    </row>
    <row r="253" spans="1:5" x14ac:dyDescent="0.3">
      <c r="A253" s="20" t="s">
        <v>415</v>
      </c>
      <c r="B253" s="21" t="s">
        <v>416</v>
      </c>
      <c r="C253" s="22">
        <v>40848</v>
      </c>
      <c r="D253" s="21" t="s">
        <v>418</v>
      </c>
      <c r="E253" s="23">
        <v>1033.1500000000001</v>
      </c>
    </row>
    <row r="254" spans="1:5" x14ac:dyDescent="0.3">
      <c r="A254" s="20" t="s">
        <v>419</v>
      </c>
      <c r="B254" s="21" t="s">
        <v>420</v>
      </c>
      <c r="C254" s="22">
        <v>40852</v>
      </c>
      <c r="D254" s="21" t="s">
        <v>421</v>
      </c>
      <c r="E254" s="23">
        <v>1031.83</v>
      </c>
    </row>
    <row r="255" spans="1:5" x14ac:dyDescent="0.3">
      <c r="A255" s="20" t="s">
        <v>422</v>
      </c>
      <c r="B255" s="21" t="s">
        <v>423</v>
      </c>
      <c r="C255" s="22">
        <v>40854</v>
      </c>
      <c r="D255" s="21" t="s">
        <v>424</v>
      </c>
      <c r="E255" s="23">
        <v>1018.18</v>
      </c>
    </row>
    <row r="256" spans="1:5" x14ac:dyDescent="0.3">
      <c r="A256" s="20" t="s">
        <v>422</v>
      </c>
      <c r="B256" s="21" t="s">
        <v>423</v>
      </c>
      <c r="C256" s="22">
        <v>40854</v>
      </c>
      <c r="D256" s="21" t="s">
        <v>425</v>
      </c>
      <c r="E256" s="23">
        <v>1016.88</v>
      </c>
    </row>
    <row r="257" spans="1:5" x14ac:dyDescent="0.3">
      <c r="A257" s="20" t="s">
        <v>422</v>
      </c>
      <c r="B257" s="21" t="s">
        <v>423</v>
      </c>
      <c r="C257" s="22">
        <v>40854</v>
      </c>
      <c r="D257" s="21" t="s">
        <v>426</v>
      </c>
      <c r="E257" s="23">
        <v>1018.25</v>
      </c>
    </row>
    <row r="258" spans="1:5" x14ac:dyDescent="0.3">
      <c r="A258" s="20" t="s">
        <v>422</v>
      </c>
      <c r="B258" s="21" t="s">
        <v>423</v>
      </c>
      <c r="C258" s="22">
        <v>40868</v>
      </c>
      <c r="D258" s="21" t="s">
        <v>427</v>
      </c>
      <c r="E258" s="23">
        <v>1020.13</v>
      </c>
    </row>
    <row r="259" spans="1:5" x14ac:dyDescent="0.3">
      <c r="A259" s="20" t="s">
        <v>422</v>
      </c>
      <c r="B259" s="21" t="s">
        <v>423</v>
      </c>
      <c r="C259" s="22">
        <v>40868</v>
      </c>
      <c r="D259" s="21" t="s">
        <v>428</v>
      </c>
      <c r="E259" s="23">
        <v>1017.03</v>
      </c>
    </row>
    <row r="260" spans="1:5" x14ac:dyDescent="0.3">
      <c r="A260" s="20" t="s">
        <v>422</v>
      </c>
      <c r="B260" s="21" t="s">
        <v>423</v>
      </c>
      <c r="C260" s="22">
        <v>40868</v>
      </c>
      <c r="D260" s="21" t="s">
        <v>429</v>
      </c>
      <c r="E260" s="23">
        <v>1017.25</v>
      </c>
    </row>
    <row r="261" spans="1:5" x14ac:dyDescent="0.3">
      <c r="A261" s="20" t="s">
        <v>422</v>
      </c>
      <c r="B261" s="21" t="s">
        <v>423</v>
      </c>
      <c r="C261" s="22">
        <v>40868</v>
      </c>
      <c r="D261" s="21" t="s">
        <v>430</v>
      </c>
      <c r="E261" s="23">
        <v>1015.89</v>
      </c>
    </row>
    <row r="262" spans="1:5" x14ac:dyDescent="0.3">
      <c r="A262" s="20" t="s">
        <v>431</v>
      </c>
      <c r="B262" s="21" t="s">
        <v>432</v>
      </c>
      <c r="C262" s="22">
        <v>40848</v>
      </c>
      <c r="D262" s="21" t="s">
        <v>433</v>
      </c>
      <c r="E262" s="23">
        <v>1038.27</v>
      </c>
    </row>
    <row r="263" spans="1:5" x14ac:dyDescent="0.3">
      <c r="A263" s="20" t="s">
        <v>434</v>
      </c>
      <c r="B263" s="21" t="s">
        <v>435</v>
      </c>
      <c r="C263" s="22">
        <v>40849</v>
      </c>
      <c r="D263" s="21" t="s">
        <v>436</v>
      </c>
      <c r="E263" s="23">
        <v>1301.95</v>
      </c>
    </row>
    <row r="264" spans="1:5" x14ac:dyDescent="0.3">
      <c r="A264" s="20" t="s">
        <v>437</v>
      </c>
      <c r="B264" s="21" t="s">
        <v>438</v>
      </c>
      <c r="C264" s="22">
        <v>40848</v>
      </c>
      <c r="D264" s="21" t="s">
        <v>439</v>
      </c>
      <c r="E264" s="23">
        <v>1018.18</v>
      </c>
    </row>
    <row r="265" spans="1:5" x14ac:dyDescent="0.3">
      <c r="A265" s="20" t="s">
        <v>434</v>
      </c>
      <c r="B265" s="21" t="s">
        <v>435</v>
      </c>
      <c r="C265" s="22">
        <v>40865</v>
      </c>
      <c r="D265" s="21" t="s">
        <v>440</v>
      </c>
      <c r="E265" s="23">
        <v>1035.93</v>
      </c>
    </row>
    <row r="266" spans="1:5" x14ac:dyDescent="0.3">
      <c r="A266" s="20" t="s">
        <v>437</v>
      </c>
      <c r="B266" s="21" t="s">
        <v>438</v>
      </c>
      <c r="C266" s="22">
        <v>40865</v>
      </c>
      <c r="D266" s="21" t="s">
        <v>441</v>
      </c>
      <c r="E266" s="23">
        <v>1016.32</v>
      </c>
    </row>
    <row r="267" spans="1:5" x14ac:dyDescent="0.3">
      <c r="A267" s="20" t="s">
        <v>442</v>
      </c>
      <c r="B267" s="21" t="s">
        <v>443</v>
      </c>
      <c r="C267" s="22">
        <v>40865</v>
      </c>
      <c r="D267" s="21" t="s">
        <v>444</v>
      </c>
      <c r="E267" s="23">
        <v>1017.42</v>
      </c>
    </row>
    <row r="268" spans="1:5" x14ac:dyDescent="0.3">
      <c r="A268" s="20" t="s">
        <v>442</v>
      </c>
      <c r="B268" s="21" t="s">
        <v>443</v>
      </c>
      <c r="C268" s="22">
        <v>40862</v>
      </c>
      <c r="D268" s="21" t="s">
        <v>445</v>
      </c>
      <c r="E268" s="23">
        <v>1016.8</v>
      </c>
    </row>
    <row r="269" spans="1:5" x14ac:dyDescent="0.3">
      <c r="A269" s="20" t="s">
        <v>446</v>
      </c>
      <c r="B269" s="21" t="s">
        <v>447</v>
      </c>
      <c r="C269" s="22">
        <v>40862</v>
      </c>
      <c r="D269" s="21" t="s">
        <v>448</v>
      </c>
      <c r="E269" s="23">
        <v>1030.1500000000001</v>
      </c>
    </row>
    <row r="270" spans="1:5" x14ac:dyDescent="0.3">
      <c r="A270" s="20" t="s">
        <v>442</v>
      </c>
      <c r="B270" s="21" t="s">
        <v>443</v>
      </c>
      <c r="C270" s="22">
        <v>40874</v>
      </c>
      <c r="D270" s="21" t="s">
        <v>449</v>
      </c>
      <c r="E270" s="23">
        <v>1019.44</v>
      </c>
    </row>
    <row r="271" spans="1:5" x14ac:dyDescent="0.3">
      <c r="A271" s="20" t="s">
        <v>450</v>
      </c>
      <c r="B271" s="21" t="s">
        <v>451</v>
      </c>
      <c r="C271" s="22">
        <v>40851</v>
      </c>
      <c r="D271" s="21" t="s">
        <v>452</v>
      </c>
      <c r="E271" s="23">
        <v>1016.07</v>
      </c>
    </row>
    <row r="272" spans="1:5" x14ac:dyDescent="0.3">
      <c r="A272" s="20" t="s">
        <v>453</v>
      </c>
      <c r="B272" s="21" t="s">
        <v>454</v>
      </c>
      <c r="C272" s="22">
        <v>40856</v>
      </c>
      <c r="D272" s="21" t="s">
        <v>455</v>
      </c>
      <c r="E272" s="23">
        <v>1016.2</v>
      </c>
    </row>
    <row r="273" spans="1:6" x14ac:dyDescent="0.3">
      <c r="A273" s="20" t="s">
        <v>456</v>
      </c>
      <c r="B273" s="21" t="s">
        <v>457</v>
      </c>
      <c r="C273" s="22">
        <v>40850</v>
      </c>
      <c r="D273" s="21" t="s">
        <v>458</v>
      </c>
      <c r="E273" s="23">
        <v>1117.83</v>
      </c>
    </row>
    <row r="274" spans="1:6" x14ac:dyDescent="0.3">
      <c r="A274" s="20" t="s">
        <v>459</v>
      </c>
      <c r="B274" s="21" t="s">
        <v>460</v>
      </c>
      <c r="C274" s="22">
        <v>40858</v>
      </c>
      <c r="D274" s="21" t="s">
        <v>461</v>
      </c>
      <c r="E274" s="23">
        <v>1051.95</v>
      </c>
    </row>
    <row r="275" spans="1:6" x14ac:dyDescent="0.3">
      <c r="A275" s="20" t="s">
        <v>462</v>
      </c>
      <c r="B275" s="21" t="s">
        <v>463</v>
      </c>
      <c r="C275" s="22">
        <v>40853</v>
      </c>
      <c r="D275" s="21" t="s">
        <v>464</v>
      </c>
      <c r="E275" s="23">
        <v>1015.99</v>
      </c>
    </row>
    <row r="276" spans="1:6" x14ac:dyDescent="0.3">
      <c r="A276" s="20" t="s">
        <v>459</v>
      </c>
      <c r="B276" s="21" t="s">
        <v>460</v>
      </c>
      <c r="C276" s="22">
        <v>40853</v>
      </c>
      <c r="D276" s="21" t="s">
        <v>465</v>
      </c>
      <c r="E276" s="23">
        <v>1333.77</v>
      </c>
    </row>
    <row r="277" spans="1:6" x14ac:dyDescent="0.3">
      <c r="A277" s="20" t="s">
        <v>466</v>
      </c>
      <c r="B277" s="21" t="s">
        <v>467</v>
      </c>
      <c r="C277" s="22">
        <v>40858</v>
      </c>
      <c r="D277" s="21" t="s">
        <v>468</v>
      </c>
      <c r="E277" s="23">
        <v>1016.01</v>
      </c>
      <c r="F277" s="24"/>
    </row>
    <row r="278" spans="1:6" x14ac:dyDescent="0.3">
      <c r="A278" s="20" t="s">
        <v>466</v>
      </c>
      <c r="B278" s="21" t="s">
        <v>467</v>
      </c>
      <c r="C278" s="22">
        <v>40863</v>
      </c>
      <c r="D278" s="21" t="s">
        <v>469</v>
      </c>
      <c r="E278" s="23">
        <v>1020.33</v>
      </c>
    </row>
    <row r="279" spans="1:6" x14ac:dyDescent="0.3">
      <c r="A279" s="20" t="s">
        <v>466</v>
      </c>
      <c r="B279" s="21" t="s">
        <v>467</v>
      </c>
      <c r="C279" s="22">
        <v>40865</v>
      </c>
      <c r="D279" s="21" t="s">
        <v>470</v>
      </c>
      <c r="E279" s="23">
        <v>1016.26</v>
      </c>
    </row>
    <row r="280" spans="1:6" x14ac:dyDescent="0.3">
      <c r="A280" s="20" t="s">
        <v>466</v>
      </c>
      <c r="B280" s="21" t="s">
        <v>467</v>
      </c>
      <c r="C280" s="22">
        <v>40862</v>
      </c>
      <c r="D280" s="21" t="s">
        <v>471</v>
      </c>
      <c r="E280" s="23">
        <v>1021.43</v>
      </c>
    </row>
    <row r="281" spans="1:6" x14ac:dyDescent="0.3">
      <c r="A281" s="20" t="s">
        <v>466</v>
      </c>
      <c r="B281" s="21" t="s">
        <v>467</v>
      </c>
      <c r="C281" s="22">
        <v>40863</v>
      </c>
      <c r="D281" s="21" t="s">
        <v>472</v>
      </c>
      <c r="E281" s="23">
        <v>1017.38</v>
      </c>
    </row>
    <row r="282" spans="1:6" x14ac:dyDescent="0.3">
      <c r="A282" s="20" t="s">
        <v>466</v>
      </c>
      <c r="B282" s="21" t="s">
        <v>467</v>
      </c>
      <c r="C282" s="22">
        <v>40858</v>
      </c>
      <c r="D282" s="21" t="s">
        <v>473</v>
      </c>
      <c r="E282" s="23">
        <v>1018</v>
      </c>
    </row>
    <row r="283" spans="1:6" x14ac:dyDescent="0.3">
      <c r="A283" s="20" t="s">
        <v>466</v>
      </c>
      <c r="B283" s="21" t="s">
        <v>467</v>
      </c>
      <c r="C283" s="22">
        <v>40848</v>
      </c>
      <c r="D283" s="21" t="s">
        <v>474</v>
      </c>
      <c r="E283" s="23">
        <v>1015.12</v>
      </c>
    </row>
    <row r="284" spans="1:6" x14ac:dyDescent="0.3">
      <c r="A284" s="20" t="s">
        <v>466</v>
      </c>
      <c r="B284" s="21" t="s">
        <v>467</v>
      </c>
      <c r="C284" s="22">
        <v>40848</v>
      </c>
      <c r="D284" s="21" t="s">
        <v>475</v>
      </c>
      <c r="E284" s="23">
        <v>1017.42</v>
      </c>
    </row>
    <row r="285" spans="1:6" x14ac:dyDescent="0.3">
      <c r="A285" s="20" t="s">
        <v>466</v>
      </c>
      <c r="B285" s="21" t="s">
        <v>467</v>
      </c>
      <c r="C285" s="22">
        <v>40862</v>
      </c>
      <c r="D285" s="21" t="s">
        <v>476</v>
      </c>
      <c r="E285" s="23">
        <v>1021.87</v>
      </c>
    </row>
    <row r="286" spans="1:6" x14ac:dyDescent="0.3">
      <c r="A286" s="20" t="s">
        <v>466</v>
      </c>
      <c r="B286" s="21" t="s">
        <v>467</v>
      </c>
      <c r="C286" s="22">
        <v>40858</v>
      </c>
      <c r="D286" s="21" t="s">
        <v>477</v>
      </c>
      <c r="E286" s="23">
        <v>1016.97</v>
      </c>
    </row>
    <row r="287" spans="1:6" x14ac:dyDescent="0.3">
      <c r="A287" s="20" t="s">
        <v>466</v>
      </c>
      <c r="B287" s="21" t="s">
        <v>467</v>
      </c>
      <c r="C287" s="22">
        <v>40862</v>
      </c>
      <c r="D287" s="21" t="s">
        <v>478</v>
      </c>
      <c r="E287" s="23">
        <v>1017.32</v>
      </c>
    </row>
    <row r="288" spans="1:6" x14ac:dyDescent="0.3">
      <c r="A288" s="20" t="s">
        <v>466</v>
      </c>
      <c r="B288" s="21" t="s">
        <v>467</v>
      </c>
      <c r="C288" s="22">
        <v>40871</v>
      </c>
      <c r="D288" s="21" t="s">
        <v>479</v>
      </c>
      <c r="E288" s="23">
        <v>1016.79</v>
      </c>
    </row>
    <row r="289" spans="1:5" x14ac:dyDescent="0.3">
      <c r="A289" s="20" t="s">
        <v>466</v>
      </c>
      <c r="B289" s="21" t="s">
        <v>467</v>
      </c>
      <c r="C289" s="22">
        <v>40875</v>
      </c>
      <c r="D289" s="21" t="s">
        <v>480</v>
      </c>
      <c r="E289" s="23">
        <v>1017.33</v>
      </c>
    </row>
    <row r="290" spans="1:5" x14ac:dyDescent="0.3">
      <c r="A290" s="20" t="s">
        <v>466</v>
      </c>
      <c r="B290" s="21" t="s">
        <v>467</v>
      </c>
      <c r="C290" s="22">
        <v>40848</v>
      </c>
      <c r="D290" s="21" t="s">
        <v>481</v>
      </c>
      <c r="E290" s="23">
        <v>1016.71</v>
      </c>
    </row>
    <row r="291" spans="1:5" x14ac:dyDescent="0.3">
      <c r="A291" s="20" t="s">
        <v>466</v>
      </c>
      <c r="B291" s="21" t="s">
        <v>467</v>
      </c>
      <c r="C291" s="22">
        <v>40871</v>
      </c>
      <c r="D291" s="21" t="s">
        <v>482</v>
      </c>
      <c r="E291" s="23">
        <v>1017.27</v>
      </c>
    </row>
    <row r="292" spans="1:5" x14ac:dyDescent="0.3">
      <c r="A292" s="20" t="s">
        <v>466</v>
      </c>
      <c r="B292" s="21" t="s">
        <v>467</v>
      </c>
      <c r="C292" s="22">
        <v>40858</v>
      </c>
      <c r="D292" s="21" t="s">
        <v>483</v>
      </c>
      <c r="E292" s="23">
        <v>1019.28</v>
      </c>
    </row>
    <row r="293" spans="1:5" x14ac:dyDescent="0.3">
      <c r="A293" s="20" t="s">
        <v>466</v>
      </c>
      <c r="B293" s="21" t="s">
        <v>467</v>
      </c>
      <c r="C293" s="22">
        <v>40849</v>
      </c>
      <c r="D293" s="21" t="s">
        <v>484</v>
      </c>
      <c r="E293" s="23">
        <v>1015.43</v>
      </c>
    </row>
    <row r="294" spans="1:5" x14ac:dyDescent="0.3">
      <c r="A294" s="20" t="s">
        <v>466</v>
      </c>
      <c r="B294" s="21" t="s">
        <v>467</v>
      </c>
      <c r="C294" s="22">
        <v>40865</v>
      </c>
      <c r="D294" s="21" t="s">
        <v>485</v>
      </c>
      <c r="E294" s="23">
        <v>1016.73</v>
      </c>
    </row>
    <row r="295" spans="1:5" x14ac:dyDescent="0.3">
      <c r="A295" s="20" t="s">
        <v>466</v>
      </c>
      <c r="B295" s="21" t="s">
        <v>467</v>
      </c>
      <c r="C295" s="22">
        <v>40862</v>
      </c>
      <c r="D295" s="21" t="s">
        <v>486</v>
      </c>
      <c r="E295" s="23">
        <v>1021.77</v>
      </c>
    </row>
    <row r="296" spans="1:5" x14ac:dyDescent="0.3">
      <c r="A296" s="20" t="s">
        <v>466</v>
      </c>
      <c r="B296" s="21" t="s">
        <v>467</v>
      </c>
      <c r="C296" s="22">
        <v>40848</v>
      </c>
      <c r="D296" s="21" t="s">
        <v>487</v>
      </c>
      <c r="E296" s="23">
        <v>1016.88</v>
      </c>
    </row>
    <row r="297" spans="1:5" x14ac:dyDescent="0.3">
      <c r="A297" s="20" t="s">
        <v>466</v>
      </c>
      <c r="B297" s="21" t="s">
        <v>467</v>
      </c>
      <c r="C297" s="22">
        <v>40873</v>
      </c>
      <c r="D297" s="21" t="s">
        <v>488</v>
      </c>
      <c r="E297" s="23">
        <v>1021.59</v>
      </c>
    </row>
    <row r="298" spans="1:5" x14ac:dyDescent="0.3">
      <c r="A298" s="20" t="s">
        <v>466</v>
      </c>
      <c r="B298" s="21" t="s">
        <v>467</v>
      </c>
      <c r="C298" s="22">
        <v>40865</v>
      </c>
      <c r="D298" s="21" t="s">
        <v>489</v>
      </c>
      <c r="E298" s="23">
        <v>1017.98</v>
      </c>
    </row>
    <row r="299" spans="1:5" x14ac:dyDescent="0.3">
      <c r="A299" s="20" t="s">
        <v>466</v>
      </c>
      <c r="B299" s="21" t="s">
        <v>467</v>
      </c>
      <c r="C299" s="22">
        <v>40848</v>
      </c>
      <c r="D299" s="21" t="s">
        <v>490</v>
      </c>
      <c r="E299" s="23">
        <v>1028.82</v>
      </c>
    </row>
    <row r="300" spans="1:5" x14ac:dyDescent="0.3">
      <c r="A300" s="20" t="s">
        <v>466</v>
      </c>
      <c r="B300" s="21" t="s">
        <v>467</v>
      </c>
      <c r="C300" s="22">
        <v>40858</v>
      </c>
      <c r="D300" s="21" t="s">
        <v>491</v>
      </c>
      <c r="E300" s="23">
        <v>1016.44</v>
      </c>
    </row>
    <row r="301" spans="1:5" x14ac:dyDescent="0.3">
      <c r="A301" s="20" t="s">
        <v>466</v>
      </c>
      <c r="B301" s="21" t="s">
        <v>467</v>
      </c>
      <c r="C301" s="22">
        <v>40863</v>
      </c>
      <c r="D301" s="21" t="s">
        <v>492</v>
      </c>
      <c r="E301" s="23">
        <v>1019.52</v>
      </c>
    </row>
    <row r="302" spans="1:5" x14ac:dyDescent="0.3">
      <c r="A302" s="20" t="s">
        <v>466</v>
      </c>
      <c r="B302" s="21" t="s">
        <v>467</v>
      </c>
      <c r="C302" s="22">
        <v>40872</v>
      </c>
      <c r="D302" s="21" t="s">
        <v>493</v>
      </c>
      <c r="E302" s="23">
        <v>1019.17</v>
      </c>
    </row>
    <row r="303" spans="1:5" x14ac:dyDescent="0.3">
      <c r="A303" s="20" t="s">
        <v>466</v>
      </c>
      <c r="B303" s="21" t="s">
        <v>467</v>
      </c>
      <c r="C303" s="22">
        <v>40873</v>
      </c>
      <c r="D303" s="21" t="s">
        <v>494</v>
      </c>
      <c r="E303" s="23">
        <v>1015.94</v>
      </c>
    </row>
    <row r="304" spans="1:5" x14ac:dyDescent="0.3">
      <c r="A304" s="20" t="s">
        <v>466</v>
      </c>
      <c r="B304" s="21" t="s">
        <v>467</v>
      </c>
      <c r="C304" s="22">
        <v>40858</v>
      </c>
      <c r="D304" s="21" t="s">
        <v>495</v>
      </c>
      <c r="E304" s="23">
        <v>1016.15</v>
      </c>
    </row>
    <row r="305" spans="1:5" x14ac:dyDescent="0.3">
      <c r="A305" s="20" t="s">
        <v>496</v>
      </c>
      <c r="B305" s="21" t="s">
        <v>497</v>
      </c>
      <c r="C305" s="22">
        <v>40853</v>
      </c>
      <c r="D305" s="21" t="s">
        <v>498</v>
      </c>
      <c r="E305" s="23">
        <v>1016.4</v>
      </c>
    </row>
    <row r="306" spans="1:5" x14ac:dyDescent="0.3">
      <c r="A306" s="20" t="s">
        <v>499</v>
      </c>
      <c r="B306" s="21" t="s">
        <v>500</v>
      </c>
      <c r="C306" s="22">
        <v>40851</v>
      </c>
      <c r="D306" s="21" t="s">
        <v>501</v>
      </c>
      <c r="E306" s="23">
        <v>1285.3600000000001</v>
      </c>
    </row>
    <row r="307" spans="1:5" x14ac:dyDescent="0.3">
      <c r="A307" s="20" t="s">
        <v>499</v>
      </c>
      <c r="B307" s="21" t="s">
        <v>500</v>
      </c>
      <c r="C307" s="22">
        <v>40851</v>
      </c>
      <c r="D307" s="21" t="s">
        <v>502</v>
      </c>
      <c r="E307" s="23">
        <v>1071.57</v>
      </c>
    </row>
    <row r="308" spans="1:5" x14ac:dyDescent="0.3">
      <c r="A308" s="20" t="s">
        <v>499</v>
      </c>
      <c r="B308" s="21" t="s">
        <v>500</v>
      </c>
      <c r="C308" s="22">
        <v>40852</v>
      </c>
      <c r="D308" s="21" t="s">
        <v>503</v>
      </c>
      <c r="E308" s="23">
        <v>1056.97</v>
      </c>
    </row>
    <row r="309" spans="1:5" x14ac:dyDescent="0.3">
      <c r="A309" s="20" t="s">
        <v>499</v>
      </c>
      <c r="B309" s="21" t="s">
        <v>500</v>
      </c>
      <c r="C309" s="22">
        <v>40858</v>
      </c>
      <c r="D309" s="21" t="s">
        <v>504</v>
      </c>
      <c r="E309" s="23">
        <v>1053.83</v>
      </c>
    </row>
    <row r="310" spans="1:5" x14ac:dyDescent="0.3">
      <c r="A310" s="20" t="s">
        <v>499</v>
      </c>
      <c r="B310" s="21" t="s">
        <v>500</v>
      </c>
      <c r="C310" s="22">
        <v>40864</v>
      </c>
      <c r="D310" s="21" t="s">
        <v>505</v>
      </c>
      <c r="E310" s="23">
        <v>1019.56</v>
      </c>
    </row>
    <row r="311" spans="1:5" x14ac:dyDescent="0.3">
      <c r="A311" s="20" t="s">
        <v>499</v>
      </c>
      <c r="B311" s="21" t="s">
        <v>500</v>
      </c>
      <c r="C311" s="22">
        <v>40869</v>
      </c>
      <c r="D311" s="21" t="s">
        <v>506</v>
      </c>
      <c r="E311" s="23">
        <v>1134.6399999999999</v>
      </c>
    </row>
    <row r="312" spans="1:5" x14ac:dyDescent="0.3">
      <c r="A312" s="20" t="s">
        <v>499</v>
      </c>
      <c r="B312" s="21" t="s">
        <v>500</v>
      </c>
      <c r="C312" s="22">
        <v>40871</v>
      </c>
      <c r="D312" s="21" t="s">
        <v>507</v>
      </c>
      <c r="E312" s="23">
        <v>1061.8800000000001</v>
      </c>
    </row>
    <row r="313" spans="1:5" x14ac:dyDescent="0.3">
      <c r="A313" s="20" t="s">
        <v>508</v>
      </c>
      <c r="B313" s="21" t="s">
        <v>509</v>
      </c>
      <c r="C313" s="22">
        <v>40852</v>
      </c>
      <c r="D313" s="21" t="s">
        <v>510</v>
      </c>
      <c r="E313" s="23">
        <v>1021.91</v>
      </c>
    </row>
    <row r="314" spans="1:5" x14ac:dyDescent="0.3">
      <c r="A314" s="20" t="s">
        <v>511</v>
      </c>
      <c r="B314" s="21" t="s">
        <v>512</v>
      </c>
      <c r="C314" s="22">
        <v>40850</v>
      </c>
      <c r="D314" s="21" t="s">
        <v>513</v>
      </c>
      <c r="E314" s="23">
        <v>1017.97</v>
      </c>
    </row>
    <row r="315" spans="1:5" x14ac:dyDescent="0.3">
      <c r="A315" s="20" t="s">
        <v>511</v>
      </c>
      <c r="B315" s="21" t="s">
        <v>512</v>
      </c>
      <c r="C315" s="22">
        <v>40858</v>
      </c>
      <c r="D315" s="21" t="s">
        <v>514</v>
      </c>
      <c r="E315" s="23">
        <v>1032.6400000000001</v>
      </c>
    </row>
    <row r="316" spans="1:5" x14ac:dyDescent="0.3">
      <c r="A316" s="20" t="s">
        <v>515</v>
      </c>
      <c r="B316" s="21" t="s">
        <v>516</v>
      </c>
      <c r="C316" s="22">
        <v>40874</v>
      </c>
      <c r="D316" s="21" t="s">
        <v>517</v>
      </c>
      <c r="E316" s="23">
        <v>1019.07</v>
      </c>
    </row>
    <row r="317" spans="1:5" x14ac:dyDescent="0.3">
      <c r="A317" s="20" t="s">
        <v>518</v>
      </c>
      <c r="B317" s="21" t="s">
        <v>519</v>
      </c>
      <c r="C317" s="22" t="s">
        <v>520</v>
      </c>
      <c r="D317" s="21" t="s">
        <v>521</v>
      </c>
      <c r="E317" s="23">
        <v>1018.5</v>
      </c>
    </row>
    <row r="318" spans="1:5" x14ac:dyDescent="0.3">
      <c r="A318" s="20" t="s">
        <v>522</v>
      </c>
      <c r="B318" s="21" t="s">
        <v>523</v>
      </c>
      <c r="C318" s="22">
        <v>40864</v>
      </c>
      <c r="D318" s="21" t="s">
        <v>524</v>
      </c>
      <c r="E318" s="23">
        <v>1020.12</v>
      </c>
    </row>
    <row r="319" spans="1:5" x14ac:dyDescent="0.3">
      <c r="A319" s="20" t="s">
        <v>522</v>
      </c>
      <c r="B319" s="21" t="s">
        <v>523</v>
      </c>
      <c r="C319" s="22">
        <v>40849</v>
      </c>
      <c r="D319" s="21" t="s">
        <v>525</v>
      </c>
      <c r="E319" s="23">
        <v>1018.32</v>
      </c>
    </row>
    <row r="320" spans="1:5" x14ac:dyDescent="0.3">
      <c r="A320" s="20" t="s">
        <v>526</v>
      </c>
      <c r="B320" s="21" t="s">
        <v>527</v>
      </c>
      <c r="C320" s="22">
        <v>40851</v>
      </c>
      <c r="D320" s="21" t="s">
        <v>528</v>
      </c>
      <c r="E320" s="23">
        <v>1026.8</v>
      </c>
    </row>
    <row r="321" spans="1:5" x14ac:dyDescent="0.3">
      <c r="A321" s="20" t="s">
        <v>529</v>
      </c>
      <c r="B321" s="21" t="s">
        <v>530</v>
      </c>
      <c r="C321" s="22">
        <v>40853</v>
      </c>
      <c r="D321" s="21" t="s">
        <v>531</v>
      </c>
      <c r="E321" s="23">
        <v>1016.11</v>
      </c>
    </row>
    <row r="322" spans="1:5" x14ac:dyDescent="0.3">
      <c r="A322" s="20" t="s">
        <v>529</v>
      </c>
      <c r="B322" s="21" t="s">
        <v>530</v>
      </c>
      <c r="C322" s="22">
        <v>40853</v>
      </c>
      <c r="D322" s="21" t="s">
        <v>532</v>
      </c>
      <c r="E322" s="23">
        <v>1023.47</v>
      </c>
    </row>
    <row r="323" spans="1:5" x14ac:dyDescent="0.3">
      <c r="A323" s="20" t="s">
        <v>529</v>
      </c>
      <c r="B323" s="21" t="s">
        <v>530</v>
      </c>
      <c r="C323" s="22">
        <v>40853</v>
      </c>
      <c r="D323" s="21" t="s">
        <v>533</v>
      </c>
      <c r="E323" s="23">
        <v>1022.06</v>
      </c>
    </row>
    <row r="324" spans="1:5" x14ac:dyDescent="0.3">
      <c r="A324" s="20" t="s">
        <v>529</v>
      </c>
      <c r="B324" s="21" t="s">
        <v>530</v>
      </c>
      <c r="C324" s="22">
        <v>40869</v>
      </c>
      <c r="D324" s="21" t="s">
        <v>534</v>
      </c>
      <c r="E324" s="23">
        <v>1020.03</v>
      </c>
    </row>
    <row r="325" spans="1:5" x14ac:dyDescent="0.3">
      <c r="A325" s="20" t="s">
        <v>529</v>
      </c>
      <c r="B325" s="21" t="s">
        <v>530</v>
      </c>
      <c r="C325" s="22">
        <v>40848</v>
      </c>
      <c r="D325" s="21" t="s">
        <v>535</v>
      </c>
      <c r="E325" s="23">
        <v>1023.67</v>
      </c>
    </row>
    <row r="326" spans="1:5" x14ac:dyDescent="0.3">
      <c r="A326" s="20" t="s">
        <v>536</v>
      </c>
      <c r="B326" s="21" t="s">
        <v>537</v>
      </c>
      <c r="C326" s="22">
        <v>40848</v>
      </c>
      <c r="D326" s="21" t="s">
        <v>538</v>
      </c>
      <c r="E326" s="23">
        <v>1015.96</v>
      </c>
    </row>
    <row r="327" spans="1:5" x14ac:dyDescent="0.3">
      <c r="A327" s="20" t="s">
        <v>539</v>
      </c>
      <c r="B327" s="21" t="s">
        <v>540</v>
      </c>
      <c r="C327" s="22">
        <v>40858</v>
      </c>
      <c r="D327" s="21" t="s">
        <v>541</v>
      </c>
      <c r="E327" s="23">
        <v>1045.8399999999999</v>
      </c>
    </row>
    <row r="328" spans="1:5" x14ac:dyDescent="0.3">
      <c r="A328" s="20" t="s">
        <v>542</v>
      </c>
      <c r="B328" s="21" t="s">
        <v>543</v>
      </c>
      <c r="C328" s="22">
        <v>40866</v>
      </c>
      <c r="D328" s="21" t="s">
        <v>544</v>
      </c>
      <c r="E328" s="23">
        <v>1019.8</v>
      </c>
    </row>
    <row r="329" spans="1:5" x14ac:dyDescent="0.3">
      <c r="A329" s="20" t="s">
        <v>545</v>
      </c>
      <c r="B329" s="21" t="s">
        <v>546</v>
      </c>
      <c r="C329" s="22">
        <v>40870</v>
      </c>
      <c r="D329" s="21" t="s">
        <v>547</v>
      </c>
      <c r="E329" s="23">
        <v>1030.9000000000001</v>
      </c>
    </row>
    <row r="330" spans="1:5" x14ac:dyDescent="0.3">
      <c r="A330" s="20" t="s">
        <v>548</v>
      </c>
      <c r="B330" s="21" t="s">
        <v>549</v>
      </c>
      <c r="C330" s="22">
        <v>40863</v>
      </c>
      <c r="D330" s="21" t="s">
        <v>550</v>
      </c>
      <c r="E330" s="23">
        <v>1017.9</v>
      </c>
    </row>
    <row r="331" spans="1:5" x14ac:dyDescent="0.3">
      <c r="A331" s="20" t="s">
        <v>548</v>
      </c>
      <c r="B331" s="21" t="s">
        <v>549</v>
      </c>
      <c r="C331" s="22">
        <v>40863</v>
      </c>
      <c r="D331" s="21" t="s">
        <v>551</v>
      </c>
      <c r="E331" s="23">
        <v>1031.3800000000001</v>
      </c>
    </row>
    <row r="332" spans="1:5" x14ac:dyDescent="0.3">
      <c r="A332" s="20" t="s">
        <v>548</v>
      </c>
      <c r="B332" s="21" t="s">
        <v>549</v>
      </c>
      <c r="C332" s="22">
        <v>40866</v>
      </c>
      <c r="D332" s="21" t="s">
        <v>552</v>
      </c>
      <c r="E332" s="23">
        <v>1020.12</v>
      </c>
    </row>
    <row r="333" spans="1:5" x14ac:dyDescent="0.3">
      <c r="A333" s="20" t="s">
        <v>553</v>
      </c>
      <c r="B333" s="21" t="s">
        <v>554</v>
      </c>
      <c r="C333" s="22">
        <v>40872</v>
      </c>
      <c r="D333" s="21" t="s">
        <v>555</v>
      </c>
      <c r="E333" s="23">
        <v>1020.19</v>
      </c>
    </row>
    <row r="334" spans="1:5" x14ac:dyDescent="0.3">
      <c r="A334" s="20" t="s">
        <v>553</v>
      </c>
      <c r="B334" s="21" t="s">
        <v>554</v>
      </c>
      <c r="C334" s="22">
        <v>40848</v>
      </c>
      <c r="D334" s="21" t="s">
        <v>556</v>
      </c>
      <c r="E334" s="23">
        <v>1019.64</v>
      </c>
    </row>
    <row r="335" spans="1:5" x14ac:dyDescent="0.3">
      <c r="A335" s="20" t="s">
        <v>557</v>
      </c>
      <c r="B335" s="21" t="s">
        <v>558</v>
      </c>
      <c r="C335" s="22">
        <v>40848</v>
      </c>
      <c r="D335" s="21" t="s">
        <v>559</v>
      </c>
      <c r="E335" s="23">
        <v>1054.49</v>
      </c>
    </row>
    <row r="336" spans="1:5" x14ac:dyDescent="0.3">
      <c r="A336" s="20" t="s">
        <v>557</v>
      </c>
      <c r="B336" s="21" t="s">
        <v>558</v>
      </c>
      <c r="C336" s="22">
        <v>40848</v>
      </c>
      <c r="D336" s="21" t="s">
        <v>560</v>
      </c>
      <c r="E336" s="23">
        <v>1022.69</v>
      </c>
    </row>
    <row r="337" spans="1:5" x14ac:dyDescent="0.3">
      <c r="A337" s="20" t="s">
        <v>557</v>
      </c>
      <c r="B337" s="21" t="s">
        <v>558</v>
      </c>
      <c r="C337" s="22">
        <v>40858</v>
      </c>
      <c r="D337" s="21" t="s">
        <v>561</v>
      </c>
      <c r="E337" s="23">
        <v>1019.44</v>
      </c>
    </row>
    <row r="338" spans="1:5" x14ac:dyDescent="0.3">
      <c r="A338" s="20" t="s">
        <v>562</v>
      </c>
      <c r="B338" s="21" t="s">
        <v>563</v>
      </c>
      <c r="C338" s="22">
        <v>40858</v>
      </c>
      <c r="D338" s="21" t="s">
        <v>564</v>
      </c>
      <c r="E338" s="23">
        <v>1017.71</v>
      </c>
    </row>
    <row r="339" spans="1:5" x14ac:dyDescent="0.3">
      <c r="A339" s="20" t="s">
        <v>562</v>
      </c>
      <c r="B339" s="21" t="s">
        <v>563</v>
      </c>
      <c r="C339" s="22">
        <v>40858</v>
      </c>
      <c r="D339" s="21" t="s">
        <v>565</v>
      </c>
      <c r="E339" s="23">
        <v>1019.58</v>
      </c>
    </row>
    <row r="340" spans="1:5" x14ac:dyDescent="0.3">
      <c r="A340" s="20" t="s">
        <v>566</v>
      </c>
      <c r="B340" s="21" t="s">
        <v>567</v>
      </c>
      <c r="C340" s="22">
        <v>40850</v>
      </c>
      <c r="D340" s="21" t="s">
        <v>568</v>
      </c>
      <c r="E340" s="23">
        <v>1023.53</v>
      </c>
    </row>
    <row r="341" spans="1:5" x14ac:dyDescent="0.3">
      <c r="A341" s="20" t="s">
        <v>569</v>
      </c>
      <c r="B341" s="21" t="s">
        <v>570</v>
      </c>
      <c r="C341" s="22">
        <v>40870</v>
      </c>
      <c r="D341" s="21" t="s">
        <v>571</v>
      </c>
      <c r="E341" s="23">
        <v>1019.01</v>
      </c>
    </row>
    <row r="342" spans="1:5" x14ac:dyDescent="0.3">
      <c r="A342" s="20" t="s">
        <v>572</v>
      </c>
      <c r="B342" s="21" t="s">
        <v>573</v>
      </c>
      <c r="C342" s="22">
        <v>40856</v>
      </c>
      <c r="D342" s="21" t="s">
        <v>574</v>
      </c>
      <c r="E342" s="23">
        <v>1026.33</v>
      </c>
    </row>
    <row r="343" spans="1:5" x14ac:dyDescent="0.3">
      <c r="A343" s="20" t="s">
        <v>575</v>
      </c>
      <c r="B343" s="21" t="s">
        <v>576</v>
      </c>
      <c r="C343" s="22">
        <v>40857</v>
      </c>
      <c r="D343" s="21" t="s">
        <v>577</v>
      </c>
      <c r="E343" s="23">
        <v>1018.44</v>
      </c>
    </row>
    <row r="344" spans="1:5" x14ac:dyDescent="0.3">
      <c r="A344" s="20" t="s">
        <v>578</v>
      </c>
      <c r="B344" s="21" t="s">
        <v>579</v>
      </c>
      <c r="C344" s="22">
        <v>40865</v>
      </c>
      <c r="D344" s="21" t="s">
        <v>580</v>
      </c>
      <c r="E344" s="23">
        <v>1016.18</v>
      </c>
    </row>
    <row r="345" spans="1:5" x14ac:dyDescent="0.3">
      <c r="A345" s="20" t="s">
        <v>581</v>
      </c>
      <c r="B345" s="21" t="s">
        <v>582</v>
      </c>
      <c r="C345" s="22">
        <v>40869</v>
      </c>
      <c r="D345" s="21" t="s">
        <v>583</v>
      </c>
      <c r="E345" s="23">
        <v>1034.44</v>
      </c>
    </row>
    <row r="346" spans="1:5" x14ac:dyDescent="0.3">
      <c r="A346" s="20" t="s">
        <v>581</v>
      </c>
      <c r="B346" s="21" t="s">
        <v>582</v>
      </c>
      <c r="C346" s="22">
        <v>40859</v>
      </c>
      <c r="D346" s="21" t="s">
        <v>584</v>
      </c>
      <c r="E346" s="23">
        <v>1029.58</v>
      </c>
    </row>
    <row r="347" spans="1:5" x14ac:dyDescent="0.3">
      <c r="A347" s="20" t="s">
        <v>581</v>
      </c>
      <c r="B347" s="21" t="s">
        <v>582</v>
      </c>
      <c r="C347" s="22">
        <v>40865</v>
      </c>
      <c r="D347" s="21" t="s">
        <v>585</v>
      </c>
      <c r="E347" s="23">
        <v>1022.2</v>
      </c>
    </row>
    <row r="348" spans="1:5" x14ac:dyDescent="0.3">
      <c r="A348" s="20" t="s">
        <v>581</v>
      </c>
      <c r="B348" s="21" t="s">
        <v>582</v>
      </c>
      <c r="C348" s="22">
        <v>40858</v>
      </c>
      <c r="D348" s="21" t="s">
        <v>586</v>
      </c>
      <c r="E348" s="23">
        <v>1019.32</v>
      </c>
    </row>
    <row r="349" spans="1:5" x14ac:dyDescent="0.3">
      <c r="A349" s="20" t="s">
        <v>587</v>
      </c>
      <c r="B349" s="21" t="s">
        <v>588</v>
      </c>
      <c r="C349" s="22">
        <v>40848</v>
      </c>
      <c r="D349" s="21" t="s">
        <v>589</v>
      </c>
      <c r="E349" s="23">
        <v>1875.26</v>
      </c>
    </row>
    <row r="350" spans="1:5" x14ac:dyDescent="0.3">
      <c r="A350" s="20" t="s">
        <v>587</v>
      </c>
      <c r="B350" s="21" t="s">
        <v>588</v>
      </c>
      <c r="C350" s="22">
        <v>40850</v>
      </c>
      <c r="D350" s="21" t="s">
        <v>590</v>
      </c>
      <c r="E350" s="23">
        <v>1392.85</v>
      </c>
    </row>
    <row r="351" spans="1:5" x14ac:dyDescent="0.3">
      <c r="A351" s="20" t="s">
        <v>587</v>
      </c>
      <c r="B351" s="21" t="s">
        <v>588</v>
      </c>
      <c r="C351" s="22">
        <v>40850</v>
      </c>
      <c r="D351" s="21" t="s">
        <v>591</v>
      </c>
      <c r="E351" s="23">
        <v>1064.5</v>
      </c>
    </row>
    <row r="352" spans="1:5" x14ac:dyDescent="0.3">
      <c r="A352" s="20" t="s">
        <v>587</v>
      </c>
      <c r="B352" s="21" t="s">
        <v>588</v>
      </c>
      <c r="C352" s="22">
        <v>40851</v>
      </c>
      <c r="D352" s="21" t="s">
        <v>592</v>
      </c>
      <c r="E352" s="23">
        <v>1668.9</v>
      </c>
    </row>
    <row r="353" spans="1:5" x14ac:dyDescent="0.3">
      <c r="A353" s="20" t="s">
        <v>587</v>
      </c>
      <c r="B353" s="21" t="s">
        <v>588</v>
      </c>
      <c r="C353" s="22">
        <v>40851</v>
      </c>
      <c r="D353" s="21" t="s">
        <v>593</v>
      </c>
      <c r="E353" s="23">
        <v>1089.25</v>
      </c>
    </row>
    <row r="354" spans="1:5" x14ac:dyDescent="0.3">
      <c r="A354" s="20" t="s">
        <v>587</v>
      </c>
      <c r="B354" s="21" t="s">
        <v>588</v>
      </c>
      <c r="C354" s="22">
        <v>40856</v>
      </c>
      <c r="D354" s="21" t="s">
        <v>594</v>
      </c>
      <c r="E354" s="23">
        <v>1292.3699999999999</v>
      </c>
    </row>
    <row r="355" spans="1:5" x14ac:dyDescent="0.3">
      <c r="A355" s="20" t="s">
        <v>587</v>
      </c>
      <c r="B355" s="21" t="s">
        <v>588</v>
      </c>
      <c r="C355" s="22">
        <v>40856</v>
      </c>
      <c r="D355" s="21" t="s">
        <v>595</v>
      </c>
      <c r="E355" s="23">
        <v>1358.23</v>
      </c>
    </row>
    <row r="356" spans="1:5" x14ac:dyDescent="0.3">
      <c r="A356" s="20" t="s">
        <v>587</v>
      </c>
      <c r="B356" s="21" t="s">
        <v>588</v>
      </c>
      <c r="C356" s="22">
        <v>40863</v>
      </c>
      <c r="D356" s="21" t="s">
        <v>596</v>
      </c>
      <c r="E356" s="23">
        <v>1239.8499999999999</v>
      </c>
    </row>
    <row r="357" spans="1:5" x14ac:dyDescent="0.3">
      <c r="A357" s="20" t="s">
        <v>587</v>
      </c>
      <c r="B357" s="21" t="s">
        <v>588</v>
      </c>
      <c r="C357" s="22">
        <v>40863</v>
      </c>
      <c r="D357" s="21" t="s">
        <v>597</v>
      </c>
      <c r="E357" s="23">
        <v>1140.51</v>
      </c>
    </row>
    <row r="358" spans="1:5" x14ac:dyDescent="0.3">
      <c r="A358" s="20" t="s">
        <v>587</v>
      </c>
      <c r="B358" s="21" t="s">
        <v>588</v>
      </c>
      <c r="C358" s="22">
        <v>40864</v>
      </c>
      <c r="D358" s="21" t="s">
        <v>598</v>
      </c>
      <c r="E358" s="23">
        <v>1048.01</v>
      </c>
    </row>
    <row r="359" spans="1:5" x14ac:dyDescent="0.3">
      <c r="A359" s="20" t="s">
        <v>587</v>
      </c>
      <c r="B359" s="21" t="s">
        <v>588</v>
      </c>
      <c r="C359" s="22">
        <v>40869</v>
      </c>
      <c r="D359" s="21" t="s">
        <v>599</v>
      </c>
      <c r="E359" s="23">
        <v>1311.06</v>
      </c>
    </row>
    <row r="360" spans="1:5" x14ac:dyDescent="0.3">
      <c r="A360" s="20" t="s">
        <v>587</v>
      </c>
      <c r="B360" s="21" t="s">
        <v>588</v>
      </c>
      <c r="C360" s="22">
        <v>40869</v>
      </c>
      <c r="D360" s="21" t="s">
        <v>600</v>
      </c>
      <c r="E360" s="23">
        <v>1262.5</v>
      </c>
    </row>
    <row r="361" spans="1:5" x14ac:dyDescent="0.3">
      <c r="A361" s="20" t="s">
        <v>601</v>
      </c>
      <c r="B361" s="21" t="s">
        <v>602</v>
      </c>
      <c r="C361" s="22">
        <v>40873</v>
      </c>
      <c r="D361" s="21" t="s">
        <v>603</v>
      </c>
      <c r="E361" s="23">
        <v>1015.27</v>
      </c>
    </row>
    <row r="362" spans="1:5" x14ac:dyDescent="0.3">
      <c r="A362" s="20" t="s">
        <v>601</v>
      </c>
      <c r="B362" s="21" t="s">
        <v>602</v>
      </c>
      <c r="C362" s="22">
        <v>40873</v>
      </c>
      <c r="D362" s="21" t="s">
        <v>604</v>
      </c>
      <c r="E362" s="23">
        <v>1017.05</v>
      </c>
    </row>
    <row r="363" spans="1:5" x14ac:dyDescent="0.3">
      <c r="A363" s="20" t="s">
        <v>601</v>
      </c>
      <c r="B363" s="21" t="s">
        <v>602</v>
      </c>
      <c r="C363" s="22">
        <v>40873</v>
      </c>
      <c r="D363" s="21" t="s">
        <v>605</v>
      </c>
      <c r="E363" s="23">
        <v>1015.13</v>
      </c>
    </row>
    <row r="364" spans="1:5" x14ac:dyDescent="0.3">
      <c r="A364" s="20" t="s">
        <v>601</v>
      </c>
      <c r="B364" s="21" t="s">
        <v>602</v>
      </c>
      <c r="C364" s="22">
        <v>40848</v>
      </c>
      <c r="D364" s="21" t="s">
        <v>606</v>
      </c>
      <c r="E364" s="23">
        <v>1081.5999999999999</v>
      </c>
    </row>
    <row r="365" spans="1:5" x14ac:dyDescent="0.3">
      <c r="A365" s="20" t="s">
        <v>601</v>
      </c>
      <c r="B365" s="21" t="s">
        <v>602</v>
      </c>
      <c r="C365" s="22">
        <v>40848</v>
      </c>
      <c r="D365" s="21" t="s">
        <v>607</v>
      </c>
      <c r="E365" s="23">
        <v>1016.15</v>
      </c>
    </row>
    <row r="366" spans="1:5" x14ac:dyDescent="0.3">
      <c r="A366" s="20" t="s">
        <v>601</v>
      </c>
      <c r="B366" s="21" t="s">
        <v>602</v>
      </c>
      <c r="C366" s="22">
        <v>40848</v>
      </c>
      <c r="D366" s="21" t="s">
        <v>608</v>
      </c>
      <c r="E366" s="23">
        <v>1016.13</v>
      </c>
    </row>
    <row r="367" spans="1:5" x14ac:dyDescent="0.3">
      <c r="A367" s="20" t="s">
        <v>601</v>
      </c>
      <c r="B367" s="21" t="s">
        <v>602</v>
      </c>
      <c r="C367" s="22">
        <v>40848</v>
      </c>
      <c r="D367" s="21" t="s">
        <v>609</v>
      </c>
      <c r="E367" s="23">
        <v>1016.43</v>
      </c>
    </row>
    <row r="368" spans="1:5" x14ac:dyDescent="0.3">
      <c r="A368" s="20" t="s">
        <v>610</v>
      </c>
      <c r="B368" s="21" t="s">
        <v>602</v>
      </c>
      <c r="C368" s="22">
        <v>40848</v>
      </c>
      <c r="D368" s="21" t="s">
        <v>611</v>
      </c>
      <c r="E368" s="23">
        <v>1460.5</v>
      </c>
    </row>
    <row r="369" spans="1:5" x14ac:dyDescent="0.3">
      <c r="A369" s="20" t="s">
        <v>601</v>
      </c>
      <c r="B369" s="21" t="s">
        <v>602</v>
      </c>
      <c r="C369" s="22" t="s">
        <v>520</v>
      </c>
      <c r="D369" s="21" t="s">
        <v>612</v>
      </c>
      <c r="E369" s="23">
        <v>1016.5</v>
      </c>
    </row>
    <row r="370" spans="1:5" x14ac:dyDescent="0.3">
      <c r="A370" s="20" t="s">
        <v>601</v>
      </c>
      <c r="B370" s="21" t="s">
        <v>602</v>
      </c>
      <c r="C370" s="22" t="s">
        <v>520</v>
      </c>
      <c r="D370" s="21" t="s">
        <v>613</v>
      </c>
      <c r="E370" s="23">
        <v>1015.2</v>
      </c>
    </row>
    <row r="371" spans="1:5" x14ac:dyDescent="0.3">
      <c r="A371" s="20" t="s">
        <v>601</v>
      </c>
      <c r="B371" s="21" t="s">
        <v>602</v>
      </c>
      <c r="C371" s="22">
        <v>40848</v>
      </c>
      <c r="D371" s="21" t="s">
        <v>614</v>
      </c>
      <c r="E371" s="23">
        <v>1141.07</v>
      </c>
    </row>
    <row r="372" spans="1:5" x14ac:dyDescent="0.3">
      <c r="A372" s="20" t="s">
        <v>601</v>
      </c>
      <c r="B372" s="21" t="s">
        <v>602</v>
      </c>
      <c r="C372" s="22">
        <v>40874</v>
      </c>
      <c r="D372" s="21" t="s">
        <v>615</v>
      </c>
      <c r="E372" s="23">
        <v>1015.3</v>
      </c>
    </row>
    <row r="373" spans="1:5" x14ac:dyDescent="0.3">
      <c r="A373" s="20" t="s">
        <v>601</v>
      </c>
      <c r="B373" s="21" t="s">
        <v>602</v>
      </c>
      <c r="C373" s="22">
        <v>40864</v>
      </c>
      <c r="D373" s="21" t="s">
        <v>616</v>
      </c>
      <c r="E373" s="23">
        <v>1016.37</v>
      </c>
    </row>
    <row r="374" spans="1:5" x14ac:dyDescent="0.3">
      <c r="A374" s="20" t="s">
        <v>610</v>
      </c>
      <c r="B374" s="21" t="s">
        <v>602</v>
      </c>
      <c r="C374" s="22">
        <v>40852</v>
      </c>
      <c r="D374" s="21" t="s">
        <v>617</v>
      </c>
      <c r="E374" s="23">
        <v>1021.77</v>
      </c>
    </row>
    <row r="375" spans="1:5" x14ac:dyDescent="0.3">
      <c r="A375" s="20" t="s">
        <v>618</v>
      </c>
      <c r="B375" s="21" t="s">
        <v>619</v>
      </c>
      <c r="C375" s="22">
        <v>40864</v>
      </c>
      <c r="D375" s="21" t="s">
        <v>620</v>
      </c>
      <c r="E375" s="23">
        <v>1018.52</v>
      </c>
    </row>
    <row r="376" spans="1:5" x14ac:dyDescent="0.3">
      <c r="A376" s="20" t="s">
        <v>621</v>
      </c>
      <c r="B376" s="21" t="s">
        <v>622</v>
      </c>
      <c r="C376" s="22">
        <v>40873</v>
      </c>
      <c r="D376" s="21" t="s">
        <v>623</v>
      </c>
      <c r="E376" s="23">
        <v>1022.41</v>
      </c>
    </row>
    <row r="377" spans="1:5" x14ac:dyDescent="0.3">
      <c r="A377" s="20" t="s">
        <v>624</v>
      </c>
      <c r="B377" s="21" t="s">
        <v>625</v>
      </c>
      <c r="C377" s="22">
        <v>40853</v>
      </c>
      <c r="D377" s="21" t="s">
        <v>626</v>
      </c>
      <c r="E377" s="23">
        <v>1020.48</v>
      </c>
    </row>
    <row r="378" spans="1:5" x14ac:dyDescent="0.3">
      <c r="A378" s="20" t="s">
        <v>627</v>
      </c>
      <c r="B378" s="21" t="s">
        <v>628</v>
      </c>
      <c r="C378" s="22">
        <v>40857</v>
      </c>
      <c r="D378" s="21" t="s">
        <v>629</v>
      </c>
      <c r="E378" s="23">
        <v>1063.6300000000001</v>
      </c>
    </row>
    <row r="379" spans="1:5" x14ac:dyDescent="0.3">
      <c r="A379" s="20" t="s">
        <v>627</v>
      </c>
      <c r="B379" s="21" t="s">
        <v>628</v>
      </c>
      <c r="C379" s="22">
        <v>40848</v>
      </c>
      <c r="D379" s="21" t="s">
        <v>630</v>
      </c>
      <c r="E379" s="23">
        <v>1016.07</v>
      </c>
    </row>
    <row r="380" spans="1:5" x14ac:dyDescent="0.3">
      <c r="A380" s="20" t="s">
        <v>631</v>
      </c>
      <c r="B380" s="21" t="s">
        <v>632</v>
      </c>
      <c r="C380" s="22">
        <v>40852</v>
      </c>
      <c r="D380" s="21" t="s">
        <v>633</v>
      </c>
      <c r="E380" s="23">
        <v>1150</v>
      </c>
    </row>
    <row r="381" spans="1:5" x14ac:dyDescent="0.3">
      <c r="A381" s="20" t="s">
        <v>631</v>
      </c>
      <c r="B381" s="21" t="s">
        <v>632</v>
      </c>
      <c r="C381" s="22">
        <v>40852</v>
      </c>
      <c r="D381" s="21" t="s">
        <v>634</v>
      </c>
      <c r="E381" s="23">
        <v>3056.8199999999997</v>
      </c>
    </row>
    <row r="382" spans="1:5" x14ac:dyDescent="0.3">
      <c r="A382" s="20" t="s">
        <v>631</v>
      </c>
      <c r="B382" s="21" t="s">
        <v>632</v>
      </c>
      <c r="C382" s="22">
        <v>40848</v>
      </c>
      <c r="D382" s="21" t="s">
        <v>635</v>
      </c>
      <c r="E382" s="23">
        <v>1016</v>
      </c>
    </row>
    <row r="383" spans="1:5" x14ac:dyDescent="0.3">
      <c r="A383" s="20" t="s">
        <v>631</v>
      </c>
      <c r="B383" s="21" t="s">
        <v>632</v>
      </c>
      <c r="C383" s="22">
        <v>40848</v>
      </c>
      <c r="D383" s="21" t="s">
        <v>636</v>
      </c>
      <c r="E383" s="23">
        <v>1017.01</v>
      </c>
    </row>
    <row r="384" spans="1:5" x14ac:dyDescent="0.3">
      <c r="A384" s="20" t="s">
        <v>631</v>
      </c>
      <c r="B384" s="21" t="s">
        <v>632</v>
      </c>
      <c r="C384" s="22">
        <v>40848</v>
      </c>
      <c r="D384" s="21" t="s">
        <v>637</v>
      </c>
      <c r="E384" s="23">
        <v>1018.93</v>
      </c>
    </row>
    <row r="385" spans="1:5" x14ac:dyDescent="0.3">
      <c r="A385" s="20" t="s">
        <v>631</v>
      </c>
      <c r="B385" s="21" t="s">
        <v>632</v>
      </c>
      <c r="C385" s="22">
        <v>40848</v>
      </c>
      <c r="D385" s="21" t="s">
        <v>638</v>
      </c>
      <c r="E385" s="23">
        <v>1016.57</v>
      </c>
    </row>
    <row r="386" spans="1:5" x14ac:dyDescent="0.3">
      <c r="A386" s="20" t="s">
        <v>631</v>
      </c>
      <c r="B386" s="21" t="s">
        <v>632</v>
      </c>
      <c r="C386" s="22">
        <v>40848</v>
      </c>
      <c r="D386" s="21" t="s">
        <v>639</v>
      </c>
      <c r="E386" s="23">
        <v>1015.34</v>
      </c>
    </row>
    <row r="387" spans="1:5" x14ac:dyDescent="0.3">
      <c r="A387" s="20" t="s">
        <v>631</v>
      </c>
      <c r="B387" s="21" t="s">
        <v>632</v>
      </c>
      <c r="C387" s="22">
        <v>40848</v>
      </c>
      <c r="D387" s="21" t="s">
        <v>640</v>
      </c>
      <c r="E387" s="23">
        <v>1017.67</v>
      </c>
    </row>
    <row r="388" spans="1:5" x14ac:dyDescent="0.3">
      <c r="A388" s="20" t="s">
        <v>631</v>
      </c>
      <c r="B388" s="21" t="s">
        <v>632</v>
      </c>
      <c r="C388" s="22">
        <v>40854</v>
      </c>
      <c r="D388" s="21" t="s">
        <v>641</v>
      </c>
      <c r="E388" s="23">
        <v>1016.82</v>
      </c>
    </row>
    <row r="389" spans="1:5" x14ac:dyDescent="0.3">
      <c r="A389" s="20" t="s">
        <v>631</v>
      </c>
      <c r="B389" s="21" t="s">
        <v>632</v>
      </c>
      <c r="C389" s="22">
        <v>40850</v>
      </c>
      <c r="D389" s="21" t="s">
        <v>642</v>
      </c>
      <c r="E389" s="23">
        <v>1015.17</v>
      </c>
    </row>
    <row r="390" spans="1:5" x14ac:dyDescent="0.3">
      <c r="A390" s="20" t="s">
        <v>631</v>
      </c>
      <c r="B390" s="21" t="s">
        <v>632</v>
      </c>
      <c r="C390" s="22">
        <v>40861</v>
      </c>
      <c r="D390" s="21" t="s">
        <v>643</v>
      </c>
      <c r="E390" s="23">
        <v>1017.41</v>
      </c>
    </row>
    <row r="391" spans="1:5" x14ac:dyDescent="0.3">
      <c r="A391" s="20" t="s">
        <v>631</v>
      </c>
      <c r="B391" s="21" t="s">
        <v>632</v>
      </c>
      <c r="C391" s="22">
        <v>40858</v>
      </c>
      <c r="D391" s="21" t="s">
        <v>644</v>
      </c>
      <c r="E391" s="23">
        <v>1018.75</v>
      </c>
    </row>
    <row r="392" spans="1:5" x14ac:dyDescent="0.3">
      <c r="A392" s="20" t="s">
        <v>631</v>
      </c>
      <c r="B392" s="21" t="s">
        <v>632</v>
      </c>
      <c r="C392" s="22">
        <v>40861</v>
      </c>
      <c r="D392" s="21" t="s">
        <v>645</v>
      </c>
      <c r="E392" s="23">
        <v>1019.96</v>
      </c>
    </row>
    <row r="393" spans="1:5" x14ac:dyDescent="0.3">
      <c r="A393" s="20" t="s">
        <v>631</v>
      </c>
      <c r="B393" s="21" t="s">
        <v>632</v>
      </c>
      <c r="C393" s="22">
        <v>40861</v>
      </c>
      <c r="D393" s="21" t="s">
        <v>646</v>
      </c>
      <c r="E393" s="23">
        <v>1019.07</v>
      </c>
    </row>
    <row r="394" spans="1:5" x14ac:dyDescent="0.3">
      <c r="A394" s="20" t="s">
        <v>631</v>
      </c>
      <c r="B394" s="21" t="s">
        <v>632</v>
      </c>
      <c r="C394" s="22">
        <v>40856</v>
      </c>
      <c r="D394" s="21" t="s">
        <v>647</v>
      </c>
      <c r="E394" s="23">
        <v>1015.39</v>
      </c>
    </row>
    <row r="395" spans="1:5" x14ac:dyDescent="0.3">
      <c r="A395" s="20" t="s">
        <v>631</v>
      </c>
      <c r="B395" s="21" t="s">
        <v>632</v>
      </c>
      <c r="C395" s="22">
        <v>40868</v>
      </c>
      <c r="D395" s="21" t="s">
        <v>648</v>
      </c>
      <c r="E395" s="23">
        <v>1019.79</v>
      </c>
    </row>
    <row r="396" spans="1:5" x14ac:dyDescent="0.3">
      <c r="A396" s="20" t="s">
        <v>631</v>
      </c>
      <c r="B396" s="21" t="s">
        <v>632</v>
      </c>
      <c r="C396" s="22">
        <v>40868</v>
      </c>
      <c r="D396" s="21" t="s">
        <v>649</v>
      </c>
      <c r="E396" s="23">
        <v>1015.3</v>
      </c>
    </row>
    <row r="397" spans="1:5" x14ac:dyDescent="0.3">
      <c r="A397" s="20" t="s">
        <v>631</v>
      </c>
      <c r="B397" s="21" t="s">
        <v>632</v>
      </c>
      <c r="C397" s="22">
        <v>40875</v>
      </c>
      <c r="D397" s="21" t="s">
        <v>650</v>
      </c>
      <c r="E397" s="23">
        <v>1019.34</v>
      </c>
    </row>
    <row r="398" spans="1:5" x14ac:dyDescent="0.3">
      <c r="A398" s="20" t="s">
        <v>631</v>
      </c>
      <c r="B398" s="21" t="s">
        <v>632</v>
      </c>
      <c r="C398" s="22">
        <v>40875</v>
      </c>
      <c r="D398" s="21" t="s">
        <v>651</v>
      </c>
      <c r="E398" s="23">
        <v>1018.27</v>
      </c>
    </row>
    <row r="399" spans="1:5" x14ac:dyDescent="0.3">
      <c r="A399" s="20" t="s">
        <v>631</v>
      </c>
      <c r="B399" s="21" t="s">
        <v>632</v>
      </c>
      <c r="C399" s="22">
        <v>40873</v>
      </c>
      <c r="D399" s="21" t="s">
        <v>652</v>
      </c>
      <c r="E399" s="23">
        <v>1015.38</v>
      </c>
    </row>
    <row r="400" spans="1:5" x14ac:dyDescent="0.3">
      <c r="A400" s="20" t="s">
        <v>631</v>
      </c>
      <c r="B400" s="21" t="s">
        <v>632</v>
      </c>
      <c r="C400" s="22">
        <v>40870</v>
      </c>
      <c r="D400" s="21" t="s">
        <v>653</v>
      </c>
      <c r="E400" s="23">
        <v>1016.06</v>
      </c>
    </row>
    <row r="401" spans="1:5" x14ac:dyDescent="0.3">
      <c r="A401" s="20" t="s">
        <v>631</v>
      </c>
      <c r="B401" s="21" t="s">
        <v>632</v>
      </c>
      <c r="C401" s="22">
        <v>40875</v>
      </c>
      <c r="D401" s="21" t="s">
        <v>654</v>
      </c>
      <c r="E401" s="23">
        <v>1017.67</v>
      </c>
    </row>
    <row r="402" spans="1:5" x14ac:dyDescent="0.3">
      <c r="A402" s="20" t="s">
        <v>631</v>
      </c>
      <c r="B402" s="21" t="s">
        <v>632</v>
      </c>
      <c r="C402" s="22">
        <v>40848</v>
      </c>
      <c r="D402" s="21" t="s">
        <v>655</v>
      </c>
      <c r="E402" s="23">
        <v>1030.81</v>
      </c>
    </row>
    <row r="403" spans="1:5" x14ac:dyDescent="0.3">
      <c r="A403" s="20" t="s">
        <v>656</v>
      </c>
      <c r="B403" s="21" t="s">
        <v>657</v>
      </c>
      <c r="C403" s="22">
        <v>40850</v>
      </c>
      <c r="D403" s="21" t="s">
        <v>658</v>
      </c>
      <c r="E403" s="23">
        <v>1023.47</v>
      </c>
    </row>
    <row r="404" spans="1:5" x14ac:dyDescent="0.3">
      <c r="A404" s="20" t="s">
        <v>656</v>
      </c>
      <c r="B404" s="21" t="s">
        <v>657</v>
      </c>
      <c r="C404" s="22">
        <v>40850</v>
      </c>
      <c r="D404" s="21" t="s">
        <v>659</v>
      </c>
      <c r="E404" s="23">
        <v>1019.38</v>
      </c>
    </row>
    <row r="405" spans="1:5" x14ac:dyDescent="0.3">
      <c r="A405" s="20" t="s">
        <v>660</v>
      </c>
      <c r="B405" s="21" t="s">
        <v>661</v>
      </c>
      <c r="C405" s="22">
        <v>40848</v>
      </c>
      <c r="D405" s="21" t="s">
        <v>662</v>
      </c>
      <c r="E405" s="23">
        <v>1016.62</v>
      </c>
    </row>
    <row r="406" spans="1:5" x14ac:dyDescent="0.3">
      <c r="A406" s="20" t="s">
        <v>663</v>
      </c>
      <c r="B406" s="21" t="s">
        <v>664</v>
      </c>
      <c r="C406" s="22">
        <v>40871</v>
      </c>
      <c r="D406" s="21" t="s">
        <v>665</v>
      </c>
      <c r="E406" s="23">
        <v>1015.87</v>
      </c>
    </row>
    <row r="407" spans="1:5" x14ac:dyDescent="0.3">
      <c r="A407" s="20" t="s">
        <v>666</v>
      </c>
      <c r="B407" s="21" t="s">
        <v>667</v>
      </c>
      <c r="C407" s="22">
        <v>40849</v>
      </c>
      <c r="D407" s="21" t="s">
        <v>668</v>
      </c>
      <c r="E407" s="23">
        <v>1023.13</v>
      </c>
    </row>
    <row r="408" spans="1:5" x14ac:dyDescent="0.3">
      <c r="A408" s="20" t="s">
        <v>666</v>
      </c>
      <c r="B408" s="21" t="s">
        <v>667</v>
      </c>
      <c r="C408" s="22">
        <v>40866</v>
      </c>
      <c r="D408" s="21" t="s">
        <v>669</v>
      </c>
      <c r="E408" s="23">
        <v>1016.56</v>
      </c>
    </row>
    <row r="409" spans="1:5" x14ac:dyDescent="0.3">
      <c r="A409" s="20" t="s">
        <v>670</v>
      </c>
      <c r="B409" s="21" t="s">
        <v>671</v>
      </c>
      <c r="C409" s="22">
        <v>40869</v>
      </c>
      <c r="D409" s="21" t="s">
        <v>672</v>
      </c>
      <c r="E409" s="23">
        <v>1021.77</v>
      </c>
    </row>
    <row r="410" spans="1:5" x14ac:dyDescent="0.3">
      <c r="A410" s="20" t="s">
        <v>673</v>
      </c>
      <c r="B410" s="21" t="s">
        <v>674</v>
      </c>
      <c r="C410" s="22">
        <v>40852</v>
      </c>
      <c r="D410" s="21" t="s">
        <v>675</v>
      </c>
      <c r="E410" s="23">
        <v>1018.57</v>
      </c>
    </row>
    <row r="411" spans="1:5" x14ac:dyDescent="0.3">
      <c r="A411" s="20" t="s">
        <v>676</v>
      </c>
      <c r="B411" s="21" t="s">
        <v>677</v>
      </c>
      <c r="C411" s="22">
        <v>40860</v>
      </c>
      <c r="D411" s="21" t="s">
        <v>678</v>
      </c>
      <c r="E411" s="23">
        <v>1023.01</v>
      </c>
    </row>
    <row r="412" spans="1:5" x14ac:dyDescent="0.3">
      <c r="A412" s="20" t="s">
        <v>679</v>
      </c>
      <c r="B412" s="21" t="s">
        <v>680</v>
      </c>
      <c r="C412" s="22">
        <v>40857</v>
      </c>
      <c r="D412" s="21" t="s">
        <v>681</v>
      </c>
      <c r="E412" s="23">
        <v>1015.26</v>
      </c>
    </row>
    <row r="413" spans="1:5" x14ac:dyDescent="0.3">
      <c r="A413" s="20" t="s">
        <v>679</v>
      </c>
      <c r="B413" s="21" t="s">
        <v>680</v>
      </c>
      <c r="C413" s="22">
        <v>40857</v>
      </c>
      <c r="D413" s="21" t="s">
        <v>682</v>
      </c>
      <c r="E413" s="23">
        <v>1015.92</v>
      </c>
    </row>
    <row r="414" spans="1:5" x14ac:dyDescent="0.3">
      <c r="A414" s="20" t="s">
        <v>683</v>
      </c>
      <c r="B414" s="21" t="s">
        <v>684</v>
      </c>
      <c r="C414" s="22">
        <v>40853</v>
      </c>
      <c r="D414" s="21" t="s">
        <v>685</v>
      </c>
      <c r="E414" s="23">
        <v>1130.76</v>
      </c>
    </row>
    <row r="415" spans="1:5" x14ac:dyDescent="0.3">
      <c r="A415" s="20" t="s">
        <v>683</v>
      </c>
      <c r="B415" s="21" t="s">
        <v>684</v>
      </c>
      <c r="C415" s="22">
        <v>40853</v>
      </c>
      <c r="D415" s="21" t="s">
        <v>686</v>
      </c>
      <c r="E415" s="23">
        <v>1179.7</v>
      </c>
    </row>
    <row r="416" spans="1:5" x14ac:dyDescent="0.3">
      <c r="A416" s="20" t="s">
        <v>683</v>
      </c>
      <c r="B416" s="21" t="s">
        <v>684</v>
      </c>
      <c r="C416" s="22">
        <v>40853</v>
      </c>
      <c r="D416" s="21" t="s">
        <v>687</v>
      </c>
      <c r="E416" s="23">
        <v>1020.87</v>
      </c>
    </row>
    <row r="417" spans="1:5" x14ac:dyDescent="0.3">
      <c r="A417" s="20" t="s">
        <v>683</v>
      </c>
      <c r="B417" s="21" t="s">
        <v>684</v>
      </c>
      <c r="C417" s="22">
        <v>40822</v>
      </c>
      <c r="D417" s="21" t="s">
        <v>688</v>
      </c>
      <c r="E417" s="23">
        <v>1024.5</v>
      </c>
    </row>
    <row r="418" spans="1:5" x14ac:dyDescent="0.3">
      <c r="A418" s="20" t="s">
        <v>683</v>
      </c>
      <c r="B418" s="21" t="s">
        <v>684</v>
      </c>
      <c r="C418" s="22">
        <v>40822</v>
      </c>
      <c r="D418" s="21" t="s">
        <v>689</v>
      </c>
      <c r="E418" s="23">
        <v>1020.3</v>
      </c>
    </row>
    <row r="419" spans="1:5" x14ac:dyDescent="0.3">
      <c r="A419" s="20" t="s">
        <v>683</v>
      </c>
      <c r="B419" s="21" t="s">
        <v>684</v>
      </c>
      <c r="C419" s="22">
        <v>40822</v>
      </c>
      <c r="D419" s="21" t="s">
        <v>690</v>
      </c>
      <c r="E419" s="23">
        <v>1026.21</v>
      </c>
    </row>
    <row r="420" spans="1:5" x14ac:dyDescent="0.3">
      <c r="A420" s="20" t="s">
        <v>683</v>
      </c>
      <c r="B420" s="21" t="s">
        <v>684</v>
      </c>
      <c r="C420" s="22">
        <v>40822</v>
      </c>
      <c r="D420" s="21" t="s">
        <v>691</v>
      </c>
      <c r="E420" s="23">
        <v>1016.86</v>
      </c>
    </row>
    <row r="421" spans="1:5" x14ac:dyDescent="0.3">
      <c r="A421" s="20" t="s">
        <v>683</v>
      </c>
      <c r="B421" s="21" t="s">
        <v>684</v>
      </c>
      <c r="C421" s="22">
        <v>40822</v>
      </c>
      <c r="D421" s="21" t="s">
        <v>692</v>
      </c>
      <c r="E421" s="23">
        <v>1023.46</v>
      </c>
    </row>
    <row r="422" spans="1:5" x14ac:dyDescent="0.3">
      <c r="A422" s="20" t="s">
        <v>683</v>
      </c>
      <c r="B422" s="21" t="s">
        <v>684</v>
      </c>
      <c r="C422" s="22">
        <v>40822</v>
      </c>
      <c r="D422" s="21" t="s">
        <v>693</v>
      </c>
      <c r="E422" s="23">
        <v>1017.12</v>
      </c>
    </row>
    <row r="423" spans="1:5" x14ac:dyDescent="0.3">
      <c r="A423" s="20" t="s">
        <v>683</v>
      </c>
      <c r="B423" s="21" t="s">
        <v>684</v>
      </c>
      <c r="C423" s="22">
        <v>40828</v>
      </c>
      <c r="D423" s="21" t="s">
        <v>694</v>
      </c>
      <c r="E423" s="23">
        <v>1018.95</v>
      </c>
    </row>
    <row r="424" spans="1:5" x14ac:dyDescent="0.3">
      <c r="A424" s="20" t="s">
        <v>683</v>
      </c>
      <c r="B424" s="21" t="s">
        <v>684</v>
      </c>
      <c r="C424" s="22">
        <v>40828</v>
      </c>
      <c r="D424" s="21" t="s">
        <v>695</v>
      </c>
      <c r="E424" s="23">
        <v>1024.98</v>
      </c>
    </row>
    <row r="425" spans="1:5" x14ac:dyDescent="0.3">
      <c r="A425" s="20" t="s">
        <v>683</v>
      </c>
      <c r="B425" s="21" t="s">
        <v>684</v>
      </c>
      <c r="C425" s="22">
        <v>40833</v>
      </c>
      <c r="D425" s="21" t="s">
        <v>696</v>
      </c>
      <c r="E425" s="23">
        <v>1024.3399999999999</v>
      </c>
    </row>
    <row r="426" spans="1:5" x14ac:dyDescent="0.3">
      <c r="A426" s="20" t="s">
        <v>683</v>
      </c>
      <c r="B426" s="21" t="s">
        <v>684</v>
      </c>
      <c r="C426" s="22">
        <v>40833</v>
      </c>
      <c r="D426" s="21" t="s">
        <v>697</v>
      </c>
      <c r="E426" s="23">
        <v>1017.48</v>
      </c>
    </row>
    <row r="427" spans="1:5" x14ac:dyDescent="0.3">
      <c r="A427" s="20" t="s">
        <v>683</v>
      </c>
      <c r="B427" s="21" t="s">
        <v>684</v>
      </c>
      <c r="C427" s="22">
        <v>40833</v>
      </c>
      <c r="D427" s="21" t="s">
        <v>698</v>
      </c>
      <c r="E427" s="23">
        <v>1016.97</v>
      </c>
    </row>
    <row r="428" spans="1:5" x14ac:dyDescent="0.3">
      <c r="A428" s="20" t="s">
        <v>683</v>
      </c>
      <c r="B428" s="21" t="s">
        <v>684</v>
      </c>
      <c r="C428" s="22">
        <v>40836</v>
      </c>
      <c r="D428" s="21" t="s">
        <v>699</v>
      </c>
      <c r="E428" s="23">
        <v>1025.96</v>
      </c>
    </row>
    <row r="429" spans="1:5" x14ac:dyDescent="0.3">
      <c r="A429" s="20" t="s">
        <v>683</v>
      </c>
      <c r="B429" s="21" t="s">
        <v>684</v>
      </c>
      <c r="C429" s="22">
        <v>40836</v>
      </c>
      <c r="D429" s="21" t="s">
        <v>700</v>
      </c>
      <c r="E429" s="23">
        <v>1017.57</v>
      </c>
    </row>
    <row r="430" spans="1:5" x14ac:dyDescent="0.3">
      <c r="A430" s="20" t="s">
        <v>683</v>
      </c>
      <c r="B430" s="21" t="s">
        <v>684</v>
      </c>
      <c r="C430" s="22">
        <v>40830</v>
      </c>
      <c r="D430" s="21" t="s">
        <v>701</v>
      </c>
      <c r="E430" s="23">
        <v>1029.06</v>
      </c>
    </row>
    <row r="431" spans="1:5" x14ac:dyDescent="0.3">
      <c r="A431" s="20" t="s">
        <v>683</v>
      </c>
      <c r="B431" s="21" t="s">
        <v>684</v>
      </c>
      <c r="C431" s="22">
        <v>40843</v>
      </c>
      <c r="D431" s="21" t="s">
        <v>702</v>
      </c>
      <c r="E431" s="23">
        <v>1018.73</v>
      </c>
    </row>
    <row r="432" spans="1:5" x14ac:dyDescent="0.3">
      <c r="A432" s="20" t="s">
        <v>683</v>
      </c>
      <c r="B432" s="21" t="s">
        <v>684</v>
      </c>
      <c r="C432" s="22">
        <v>40843</v>
      </c>
      <c r="D432" s="21" t="s">
        <v>703</v>
      </c>
      <c r="E432" s="23">
        <v>1023.38</v>
      </c>
    </row>
    <row r="433" spans="1:5" x14ac:dyDescent="0.3">
      <c r="A433" s="20" t="s">
        <v>683</v>
      </c>
      <c r="B433" s="21" t="s">
        <v>684</v>
      </c>
      <c r="C433" s="22">
        <v>40843</v>
      </c>
      <c r="D433" s="21" t="s">
        <v>704</v>
      </c>
      <c r="E433" s="23">
        <v>1019.08</v>
      </c>
    </row>
    <row r="434" spans="1:5" x14ac:dyDescent="0.3">
      <c r="A434" s="20" t="s">
        <v>683</v>
      </c>
      <c r="B434" s="21" t="s">
        <v>684</v>
      </c>
      <c r="C434" s="22">
        <v>40843</v>
      </c>
      <c r="D434" s="21" t="s">
        <v>705</v>
      </c>
      <c r="E434" s="23">
        <v>1016.86</v>
      </c>
    </row>
    <row r="435" spans="1:5" x14ac:dyDescent="0.3">
      <c r="A435" s="20" t="s">
        <v>683</v>
      </c>
      <c r="B435" s="21" t="s">
        <v>684</v>
      </c>
      <c r="C435" s="22">
        <v>40843</v>
      </c>
      <c r="D435" s="21" t="s">
        <v>706</v>
      </c>
      <c r="E435" s="23">
        <v>1019.39</v>
      </c>
    </row>
    <row r="436" spans="1:5" x14ac:dyDescent="0.3">
      <c r="A436" s="20" t="s">
        <v>683</v>
      </c>
      <c r="B436" s="21" t="s">
        <v>684</v>
      </c>
      <c r="C436" s="22">
        <v>40843</v>
      </c>
      <c r="D436" s="21" t="s">
        <v>707</v>
      </c>
      <c r="E436" s="23">
        <v>1017.54</v>
      </c>
    </row>
    <row r="437" spans="1:5" x14ac:dyDescent="0.3">
      <c r="A437" s="20" t="s">
        <v>708</v>
      </c>
      <c r="B437" s="21" t="s">
        <v>709</v>
      </c>
      <c r="C437" s="22">
        <v>40817</v>
      </c>
      <c r="D437" s="21" t="s">
        <v>710</v>
      </c>
      <c r="E437" s="23">
        <v>1018.57</v>
      </c>
    </row>
    <row r="438" spans="1:5" x14ac:dyDescent="0.3">
      <c r="A438" s="20" t="s">
        <v>708</v>
      </c>
      <c r="B438" s="21" t="s">
        <v>709</v>
      </c>
      <c r="C438" s="22">
        <v>40819</v>
      </c>
      <c r="D438" s="21" t="s">
        <v>711</v>
      </c>
      <c r="E438" s="23">
        <v>1016.18</v>
      </c>
    </row>
    <row r="439" spans="1:5" x14ac:dyDescent="0.3">
      <c r="A439" s="20" t="s">
        <v>712</v>
      </c>
      <c r="B439" s="21" t="s">
        <v>713</v>
      </c>
      <c r="C439" s="22">
        <v>40826</v>
      </c>
      <c r="D439" s="21" t="s">
        <v>714</v>
      </c>
      <c r="E439" s="23">
        <v>1016.92</v>
      </c>
    </row>
    <row r="440" spans="1:5" x14ac:dyDescent="0.3">
      <c r="A440" s="20" t="s">
        <v>715</v>
      </c>
      <c r="B440" s="21" t="s">
        <v>716</v>
      </c>
      <c r="C440" s="22">
        <v>40819</v>
      </c>
      <c r="D440" s="21" t="s">
        <v>717</v>
      </c>
      <c r="E440" s="23">
        <v>1019.14</v>
      </c>
    </row>
    <row r="441" spans="1:5" x14ac:dyDescent="0.3">
      <c r="A441" s="20" t="s">
        <v>718</v>
      </c>
      <c r="B441" s="21" t="s">
        <v>719</v>
      </c>
      <c r="C441" s="22">
        <v>40817</v>
      </c>
      <c r="D441" s="21" t="s">
        <v>720</v>
      </c>
      <c r="E441" s="23">
        <v>1028.82</v>
      </c>
    </row>
    <row r="442" spans="1:5" x14ac:dyDescent="0.3">
      <c r="A442" s="20" t="s">
        <v>718</v>
      </c>
      <c r="B442" s="21" t="s">
        <v>719</v>
      </c>
      <c r="C442" s="22">
        <v>40827</v>
      </c>
      <c r="D442" s="21" t="s">
        <v>721</v>
      </c>
      <c r="E442" s="23">
        <v>1054.3599999999999</v>
      </c>
    </row>
    <row r="443" spans="1:5" x14ac:dyDescent="0.3">
      <c r="A443" s="20" t="s">
        <v>718</v>
      </c>
      <c r="B443" s="21" t="s">
        <v>719</v>
      </c>
      <c r="C443" s="22">
        <v>40825</v>
      </c>
      <c r="D443" s="21" t="s">
        <v>722</v>
      </c>
      <c r="E443" s="23">
        <v>1358.08</v>
      </c>
    </row>
    <row r="444" spans="1:5" x14ac:dyDescent="0.3">
      <c r="A444" s="20" t="s">
        <v>723</v>
      </c>
      <c r="B444" s="21" t="s">
        <v>724</v>
      </c>
      <c r="C444" s="22">
        <v>40840</v>
      </c>
      <c r="D444" s="21" t="s">
        <v>725</v>
      </c>
      <c r="E444" s="23">
        <v>1028.1199999999999</v>
      </c>
    </row>
    <row r="445" spans="1:5" x14ac:dyDescent="0.3">
      <c r="A445" s="20" t="s">
        <v>726</v>
      </c>
      <c r="B445" s="21" t="s">
        <v>727</v>
      </c>
      <c r="C445" s="22">
        <v>40825</v>
      </c>
      <c r="D445" s="21" t="s">
        <v>728</v>
      </c>
      <c r="E445" s="23">
        <v>1076.79</v>
      </c>
    </row>
    <row r="446" spans="1:5" x14ac:dyDescent="0.3">
      <c r="A446" s="20" t="s">
        <v>729</v>
      </c>
      <c r="B446" s="21" t="s">
        <v>730</v>
      </c>
      <c r="C446" s="22">
        <v>40817</v>
      </c>
      <c r="D446" s="21" t="s">
        <v>731</v>
      </c>
      <c r="E446" s="23">
        <v>1023.4</v>
      </c>
    </row>
    <row r="447" spans="1:5" x14ac:dyDescent="0.3">
      <c r="A447" s="20" t="s">
        <v>729</v>
      </c>
      <c r="B447" s="21" t="s">
        <v>730</v>
      </c>
      <c r="C447" s="22">
        <v>40818</v>
      </c>
      <c r="D447" s="21" t="s">
        <v>732</v>
      </c>
      <c r="E447" s="23">
        <v>1019.26</v>
      </c>
    </row>
    <row r="448" spans="1:5" x14ac:dyDescent="0.3">
      <c r="A448" s="20" t="s">
        <v>726</v>
      </c>
      <c r="B448" s="21" t="s">
        <v>727</v>
      </c>
      <c r="C448" s="22">
        <v>40820</v>
      </c>
      <c r="D448" s="21" t="s">
        <v>733</v>
      </c>
      <c r="E448" s="23">
        <v>1016.3</v>
      </c>
    </row>
    <row r="449" spans="1:5" x14ac:dyDescent="0.3">
      <c r="A449" s="20" t="s">
        <v>734</v>
      </c>
      <c r="B449" s="21" t="s">
        <v>735</v>
      </c>
      <c r="C449" s="22">
        <v>40834</v>
      </c>
      <c r="D449" s="21" t="s">
        <v>736</v>
      </c>
      <c r="E449" s="23">
        <v>1437.74</v>
      </c>
    </row>
    <row r="450" spans="1:5" x14ac:dyDescent="0.3">
      <c r="A450" s="20" t="s">
        <v>734</v>
      </c>
      <c r="B450" s="21" t="s">
        <v>735</v>
      </c>
      <c r="C450" s="22">
        <v>40845</v>
      </c>
      <c r="D450" s="21" t="s">
        <v>737</v>
      </c>
      <c r="E450" s="23">
        <v>1023.15</v>
      </c>
    </row>
    <row r="451" spans="1:5" x14ac:dyDescent="0.3">
      <c r="A451" s="20" t="s">
        <v>734</v>
      </c>
      <c r="B451" s="21" t="s">
        <v>735</v>
      </c>
      <c r="C451" s="22">
        <v>40845</v>
      </c>
      <c r="D451" s="21" t="s">
        <v>738</v>
      </c>
      <c r="E451" s="23">
        <v>1025.31</v>
      </c>
    </row>
    <row r="452" spans="1:5" x14ac:dyDescent="0.3">
      <c r="A452" s="20" t="s">
        <v>734</v>
      </c>
      <c r="B452" s="21" t="s">
        <v>735</v>
      </c>
      <c r="C452" s="22">
        <v>40845</v>
      </c>
      <c r="D452" s="21" t="s">
        <v>739</v>
      </c>
      <c r="E452" s="23">
        <v>1023.15</v>
      </c>
    </row>
    <row r="453" spans="1:5" x14ac:dyDescent="0.3">
      <c r="A453" s="20" t="s">
        <v>734</v>
      </c>
      <c r="B453" s="21" t="s">
        <v>735</v>
      </c>
      <c r="C453" s="22">
        <v>40845</v>
      </c>
      <c r="D453" s="21" t="s">
        <v>740</v>
      </c>
      <c r="E453" s="23">
        <v>1495.38</v>
      </c>
    </row>
    <row r="454" spans="1:5" x14ac:dyDescent="0.3">
      <c r="A454" s="20" t="s">
        <v>734</v>
      </c>
      <c r="B454" s="21" t="s">
        <v>735</v>
      </c>
      <c r="C454" s="22">
        <v>40826</v>
      </c>
      <c r="D454" s="21" t="s">
        <v>741</v>
      </c>
      <c r="E454" s="23">
        <v>8423.5499999999993</v>
      </c>
    </row>
    <row r="455" spans="1:5" x14ac:dyDescent="0.3">
      <c r="A455" s="20" t="s">
        <v>734</v>
      </c>
      <c r="B455" s="21" t="s">
        <v>735</v>
      </c>
      <c r="C455" s="22">
        <v>40826</v>
      </c>
      <c r="D455" s="21" t="s">
        <v>742</v>
      </c>
      <c r="E455" s="23">
        <v>1070.04</v>
      </c>
    </row>
    <row r="456" spans="1:5" x14ac:dyDescent="0.3">
      <c r="A456" s="20" t="s">
        <v>734</v>
      </c>
      <c r="B456" s="21" t="s">
        <v>735</v>
      </c>
      <c r="C456" s="22">
        <v>40826</v>
      </c>
      <c r="D456" s="21" t="s">
        <v>743</v>
      </c>
      <c r="E456" s="23">
        <v>6723.37</v>
      </c>
    </row>
    <row r="457" spans="1:5" x14ac:dyDescent="0.3">
      <c r="A457" s="20" t="s">
        <v>734</v>
      </c>
      <c r="B457" s="21" t="s">
        <v>735</v>
      </c>
      <c r="C457" s="22">
        <v>40834</v>
      </c>
      <c r="D457" s="21" t="s">
        <v>744</v>
      </c>
      <c r="E457" s="23">
        <v>8872.49</v>
      </c>
    </row>
    <row r="458" spans="1:5" x14ac:dyDescent="0.3">
      <c r="A458" s="20" t="s">
        <v>734</v>
      </c>
      <c r="B458" s="21" t="s">
        <v>735</v>
      </c>
      <c r="C458" s="22">
        <v>40838</v>
      </c>
      <c r="D458" s="21" t="s">
        <v>745</v>
      </c>
      <c r="E458" s="23">
        <v>11168.66</v>
      </c>
    </row>
    <row r="459" spans="1:5" x14ac:dyDescent="0.3">
      <c r="A459" s="20" t="s">
        <v>734</v>
      </c>
      <c r="B459" s="21" t="s">
        <v>735</v>
      </c>
      <c r="C459" s="22">
        <v>40839</v>
      </c>
      <c r="D459" s="21" t="s">
        <v>746</v>
      </c>
      <c r="E459" s="23">
        <v>4682.0200000000004</v>
      </c>
    </row>
    <row r="460" spans="1:5" x14ac:dyDescent="0.3">
      <c r="A460" s="20" t="s">
        <v>734</v>
      </c>
      <c r="B460" s="21" t="s">
        <v>735</v>
      </c>
      <c r="C460" s="22">
        <v>40840</v>
      </c>
      <c r="D460" s="21" t="s">
        <v>747</v>
      </c>
      <c r="E460" s="23">
        <v>10751.71</v>
      </c>
    </row>
    <row r="461" spans="1:5" x14ac:dyDescent="0.3">
      <c r="A461" s="20" t="s">
        <v>734</v>
      </c>
      <c r="B461" s="21" t="s">
        <v>735</v>
      </c>
      <c r="C461" s="22">
        <v>40840</v>
      </c>
      <c r="D461" s="21" t="s">
        <v>748</v>
      </c>
      <c r="E461" s="23">
        <v>9551.91</v>
      </c>
    </row>
    <row r="462" spans="1:5" x14ac:dyDescent="0.3">
      <c r="A462" s="20" t="s">
        <v>734</v>
      </c>
      <c r="B462" s="21" t="s">
        <v>735</v>
      </c>
      <c r="C462" s="22">
        <v>40841</v>
      </c>
      <c r="D462" s="21" t="s">
        <v>749</v>
      </c>
      <c r="E462" s="23">
        <v>4462.37</v>
      </c>
    </row>
    <row r="463" spans="1:5" x14ac:dyDescent="0.3">
      <c r="A463" s="20" t="s">
        <v>734</v>
      </c>
      <c r="B463" s="21" t="s">
        <v>735</v>
      </c>
      <c r="C463" s="22">
        <v>40841</v>
      </c>
      <c r="D463" s="21" t="s">
        <v>750</v>
      </c>
      <c r="E463" s="23">
        <v>1669.15</v>
      </c>
    </row>
    <row r="464" spans="1:5" x14ac:dyDescent="0.3">
      <c r="A464" s="20" t="s">
        <v>734</v>
      </c>
      <c r="B464" s="21" t="s">
        <v>735</v>
      </c>
      <c r="C464" s="22">
        <v>40817</v>
      </c>
      <c r="D464" s="21" t="s">
        <v>751</v>
      </c>
      <c r="E464" s="23">
        <v>1057.57</v>
      </c>
    </row>
    <row r="465" spans="1:5" x14ac:dyDescent="0.3">
      <c r="A465" s="20" t="s">
        <v>734</v>
      </c>
      <c r="B465" s="21" t="s">
        <v>735</v>
      </c>
      <c r="C465" s="22">
        <v>40834</v>
      </c>
      <c r="D465" s="21" t="s">
        <v>752</v>
      </c>
      <c r="E465" s="23">
        <v>1024.1099999999999</v>
      </c>
    </row>
    <row r="466" spans="1:5" x14ac:dyDescent="0.3">
      <c r="A466" s="20" t="s">
        <v>753</v>
      </c>
      <c r="B466" s="21" t="s">
        <v>754</v>
      </c>
      <c r="C466" s="22">
        <v>40819</v>
      </c>
      <c r="D466" s="21" t="s">
        <v>755</v>
      </c>
      <c r="E466" s="23">
        <v>1034.1099999999999</v>
      </c>
    </row>
    <row r="467" spans="1:5" x14ac:dyDescent="0.3">
      <c r="A467" s="20" t="s">
        <v>753</v>
      </c>
      <c r="B467" s="21" t="s">
        <v>754</v>
      </c>
      <c r="C467" s="22">
        <v>40831</v>
      </c>
      <c r="D467" s="21" t="s">
        <v>756</v>
      </c>
      <c r="E467" s="23">
        <v>1034.1099999999999</v>
      </c>
    </row>
    <row r="468" spans="1:5" x14ac:dyDescent="0.3">
      <c r="A468" s="20" t="s">
        <v>753</v>
      </c>
      <c r="B468" s="21" t="s">
        <v>754</v>
      </c>
      <c r="C468" s="22">
        <v>40839</v>
      </c>
      <c r="D468" s="21" t="s">
        <v>757</v>
      </c>
      <c r="E468" s="23">
        <v>1022.2</v>
      </c>
    </row>
    <row r="469" spans="1:5" x14ac:dyDescent="0.3">
      <c r="A469" s="20" t="s">
        <v>753</v>
      </c>
      <c r="B469" s="21" t="s">
        <v>754</v>
      </c>
      <c r="C469" s="22">
        <v>40841</v>
      </c>
      <c r="D469" s="21" t="s">
        <v>758</v>
      </c>
      <c r="E469" s="23">
        <v>1017.3</v>
      </c>
    </row>
    <row r="470" spans="1:5" x14ac:dyDescent="0.3">
      <c r="A470" s="20" t="s">
        <v>759</v>
      </c>
      <c r="B470" s="21" t="s">
        <v>760</v>
      </c>
      <c r="C470" s="22">
        <v>40833</v>
      </c>
      <c r="D470" s="21" t="s">
        <v>761</v>
      </c>
      <c r="E470" s="23">
        <v>1018.11</v>
      </c>
    </row>
    <row r="471" spans="1:5" x14ac:dyDescent="0.3">
      <c r="A471" s="20" t="s">
        <v>759</v>
      </c>
      <c r="B471" s="21" t="s">
        <v>760</v>
      </c>
      <c r="C471" s="22">
        <v>40834</v>
      </c>
      <c r="D471" s="21" t="s">
        <v>762</v>
      </c>
      <c r="E471" s="23">
        <v>1035.75</v>
      </c>
    </row>
    <row r="472" spans="1:5" x14ac:dyDescent="0.3">
      <c r="A472" s="20" t="s">
        <v>763</v>
      </c>
      <c r="B472" s="21" t="s">
        <v>764</v>
      </c>
      <c r="C472" s="22">
        <v>40833</v>
      </c>
      <c r="D472" s="21" t="s">
        <v>765</v>
      </c>
      <c r="E472" s="23">
        <v>1015.68</v>
      </c>
    </row>
    <row r="473" spans="1:5" x14ac:dyDescent="0.3">
      <c r="A473" s="20" t="s">
        <v>766</v>
      </c>
      <c r="B473" s="21" t="s">
        <v>767</v>
      </c>
      <c r="C473" s="22">
        <v>40828</v>
      </c>
      <c r="D473" s="21" t="s">
        <v>768</v>
      </c>
      <c r="E473" s="23">
        <v>1020.7</v>
      </c>
    </row>
    <row r="474" spans="1:5" x14ac:dyDescent="0.3">
      <c r="A474" s="20" t="s">
        <v>769</v>
      </c>
      <c r="B474" s="21" t="s">
        <v>770</v>
      </c>
      <c r="C474" s="22">
        <v>40826</v>
      </c>
      <c r="D474" s="21" t="s">
        <v>771</v>
      </c>
      <c r="E474" s="23">
        <v>1016.87</v>
      </c>
    </row>
    <row r="475" spans="1:5" x14ac:dyDescent="0.3">
      <c r="A475" s="20" t="s">
        <v>769</v>
      </c>
      <c r="B475" s="21" t="s">
        <v>770</v>
      </c>
      <c r="C475" s="22">
        <v>40831</v>
      </c>
      <c r="D475" s="21" t="s">
        <v>772</v>
      </c>
      <c r="E475" s="23">
        <v>1026.98</v>
      </c>
    </row>
    <row r="476" spans="1:5" x14ac:dyDescent="0.3">
      <c r="A476" s="20" t="s">
        <v>769</v>
      </c>
      <c r="B476" s="21" t="s">
        <v>770</v>
      </c>
      <c r="C476" s="22">
        <v>40831</v>
      </c>
      <c r="D476" s="21" t="s">
        <v>773</v>
      </c>
      <c r="E476" s="23">
        <v>1018</v>
      </c>
    </row>
    <row r="477" spans="1:5" x14ac:dyDescent="0.3">
      <c r="A477" s="20" t="s">
        <v>769</v>
      </c>
      <c r="B477" s="21" t="s">
        <v>770</v>
      </c>
      <c r="C477" s="22">
        <v>40834</v>
      </c>
      <c r="D477" s="21" t="s">
        <v>774</v>
      </c>
      <c r="E477" s="23">
        <v>1040.21</v>
      </c>
    </row>
    <row r="478" spans="1:5" x14ac:dyDescent="0.3">
      <c r="A478" s="20" t="s">
        <v>769</v>
      </c>
      <c r="B478" s="21" t="s">
        <v>770</v>
      </c>
      <c r="C478" s="22">
        <v>40836</v>
      </c>
      <c r="D478" s="21" t="s">
        <v>775</v>
      </c>
      <c r="E478" s="23">
        <v>1108</v>
      </c>
    </row>
    <row r="479" spans="1:5" x14ac:dyDescent="0.3">
      <c r="A479" s="20" t="s">
        <v>776</v>
      </c>
      <c r="B479" s="21" t="s">
        <v>777</v>
      </c>
      <c r="C479" s="22">
        <v>40820</v>
      </c>
      <c r="D479" s="21" t="s">
        <v>778</v>
      </c>
      <c r="E479" s="23">
        <v>1018.2</v>
      </c>
    </row>
    <row r="480" spans="1:5" x14ac:dyDescent="0.3">
      <c r="A480" s="20" t="s">
        <v>776</v>
      </c>
      <c r="B480" s="21" t="s">
        <v>777</v>
      </c>
      <c r="C480" s="22">
        <v>40841</v>
      </c>
      <c r="D480" s="21" t="s">
        <v>779</v>
      </c>
      <c r="E480" s="23">
        <v>1016.12</v>
      </c>
    </row>
    <row r="481" spans="1:5" x14ac:dyDescent="0.3">
      <c r="A481" s="20" t="s">
        <v>780</v>
      </c>
      <c r="B481" s="21" t="s">
        <v>781</v>
      </c>
      <c r="C481" s="22">
        <v>40826</v>
      </c>
      <c r="D481" s="21" t="s">
        <v>782</v>
      </c>
      <c r="E481" s="23">
        <v>1018.2</v>
      </c>
    </row>
    <row r="482" spans="1:5" x14ac:dyDescent="0.3">
      <c r="A482" s="20" t="s">
        <v>783</v>
      </c>
      <c r="B482" s="21" t="s">
        <v>784</v>
      </c>
      <c r="C482" s="22">
        <v>40839</v>
      </c>
      <c r="D482" s="21" t="s">
        <v>785</v>
      </c>
      <c r="E482" s="23">
        <v>1016.53</v>
      </c>
    </row>
    <row r="483" spans="1:5" x14ac:dyDescent="0.3">
      <c r="A483" s="20" t="s">
        <v>786</v>
      </c>
      <c r="B483" s="21" t="s">
        <v>787</v>
      </c>
      <c r="C483" s="22">
        <v>40817</v>
      </c>
      <c r="D483" s="21" t="s">
        <v>788</v>
      </c>
      <c r="E483" s="23">
        <v>1018.52</v>
      </c>
    </row>
    <row r="484" spans="1:5" x14ac:dyDescent="0.3">
      <c r="A484" s="20" t="s">
        <v>789</v>
      </c>
      <c r="B484" s="21" t="s">
        <v>790</v>
      </c>
      <c r="C484" s="22">
        <v>40822</v>
      </c>
      <c r="D484" s="21" t="s">
        <v>791</v>
      </c>
      <c r="E484" s="23">
        <v>1019.31</v>
      </c>
    </row>
    <row r="485" spans="1:5" x14ac:dyDescent="0.3">
      <c r="A485" s="20" t="s">
        <v>789</v>
      </c>
      <c r="B485" s="21" t="s">
        <v>790</v>
      </c>
      <c r="C485" s="22">
        <v>40821</v>
      </c>
      <c r="D485" s="21" t="s">
        <v>792</v>
      </c>
      <c r="E485" s="23">
        <v>1028.81</v>
      </c>
    </row>
    <row r="486" spans="1:5" x14ac:dyDescent="0.3">
      <c r="A486" s="20" t="s">
        <v>793</v>
      </c>
      <c r="B486" s="21" t="s">
        <v>794</v>
      </c>
      <c r="C486" s="22">
        <v>40828</v>
      </c>
      <c r="D486" s="21" t="s">
        <v>795</v>
      </c>
      <c r="E486" s="23">
        <v>1023.28</v>
      </c>
    </row>
    <row r="487" spans="1:5" x14ac:dyDescent="0.3">
      <c r="A487" s="20" t="s">
        <v>796</v>
      </c>
      <c r="B487" s="21" t="s">
        <v>797</v>
      </c>
      <c r="C487" s="22">
        <v>40826</v>
      </c>
      <c r="D487" s="21" t="s">
        <v>798</v>
      </c>
      <c r="E487" s="23">
        <v>1022.2</v>
      </c>
    </row>
    <row r="488" spans="1:5" x14ac:dyDescent="0.3">
      <c r="A488" s="20" t="s">
        <v>796</v>
      </c>
      <c r="B488" s="21" t="s">
        <v>797</v>
      </c>
      <c r="C488" s="22">
        <v>40842</v>
      </c>
      <c r="D488" s="21" t="s">
        <v>799</v>
      </c>
      <c r="E488" s="23">
        <v>1018.84</v>
      </c>
    </row>
    <row r="489" spans="1:5" x14ac:dyDescent="0.3">
      <c r="A489" s="20" t="s">
        <v>796</v>
      </c>
      <c r="B489" s="21" t="s">
        <v>797</v>
      </c>
      <c r="C489" s="22">
        <v>40843</v>
      </c>
      <c r="D489" s="21" t="s">
        <v>800</v>
      </c>
      <c r="E489" s="23">
        <v>1273.03</v>
      </c>
    </row>
    <row r="490" spans="1:5" x14ac:dyDescent="0.3">
      <c r="A490" s="20" t="s">
        <v>801</v>
      </c>
      <c r="B490" s="21" t="s">
        <v>802</v>
      </c>
      <c r="C490" s="22">
        <v>40831</v>
      </c>
      <c r="D490" s="21" t="s">
        <v>803</v>
      </c>
      <c r="E490" s="23">
        <v>1018.84</v>
      </c>
    </row>
    <row r="491" spans="1:5" x14ac:dyDescent="0.3">
      <c r="A491" s="20" t="s">
        <v>804</v>
      </c>
      <c r="B491" s="21" t="s">
        <v>805</v>
      </c>
      <c r="C491" s="22">
        <v>40841</v>
      </c>
      <c r="D491" s="21" t="s">
        <v>806</v>
      </c>
      <c r="E491" s="23">
        <v>1020.04</v>
      </c>
    </row>
    <row r="492" spans="1:5" x14ac:dyDescent="0.3">
      <c r="A492" s="20" t="s">
        <v>807</v>
      </c>
      <c r="B492" s="21" t="s">
        <v>808</v>
      </c>
      <c r="C492" s="22">
        <v>40819</v>
      </c>
      <c r="D492" s="21" t="s">
        <v>809</v>
      </c>
      <c r="E492" s="23">
        <v>1020.82</v>
      </c>
    </row>
    <row r="493" spans="1:5" x14ac:dyDescent="0.3">
      <c r="A493" s="20" t="s">
        <v>810</v>
      </c>
      <c r="B493" s="21" t="s">
        <v>811</v>
      </c>
      <c r="C493" s="22">
        <v>40831</v>
      </c>
      <c r="D493" s="21" t="s">
        <v>812</v>
      </c>
      <c r="E493" s="23">
        <v>1020.41</v>
      </c>
    </row>
    <row r="494" spans="1:5" x14ac:dyDescent="0.3">
      <c r="A494" s="20" t="s">
        <v>813</v>
      </c>
      <c r="B494" s="21" t="s">
        <v>814</v>
      </c>
      <c r="C494" s="22">
        <v>40832</v>
      </c>
      <c r="D494" s="21" t="s">
        <v>815</v>
      </c>
      <c r="E494" s="23">
        <v>1023.37</v>
      </c>
    </row>
    <row r="495" spans="1:5" x14ac:dyDescent="0.3">
      <c r="A495" s="20" t="s">
        <v>816</v>
      </c>
      <c r="B495" s="21" t="s">
        <v>817</v>
      </c>
      <c r="C495" s="22">
        <v>40820</v>
      </c>
      <c r="D495" s="21" t="s">
        <v>818</v>
      </c>
      <c r="E495" s="23">
        <v>1045.0999999999999</v>
      </c>
    </row>
    <row r="496" spans="1:5" x14ac:dyDescent="0.3">
      <c r="A496" s="20" t="s">
        <v>819</v>
      </c>
      <c r="B496" s="21" t="s">
        <v>820</v>
      </c>
      <c r="C496" s="22">
        <v>40838</v>
      </c>
      <c r="D496" s="21" t="s">
        <v>821</v>
      </c>
      <c r="E496" s="23">
        <v>1023.72</v>
      </c>
    </row>
    <row r="497" spans="1:5" x14ac:dyDescent="0.3">
      <c r="A497" s="20" t="s">
        <v>822</v>
      </c>
      <c r="B497" s="21" t="s">
        <v>823</v>
      </c>
      <c r="C497" s="22">
        <v>40823</v>
      </c>
      <c r="D497" s="21" t="s">
        <v>824</v>
      </c>
      <c r="E497" s="23">
        <v>1015.78</v>
      </c>
    </row>
    <row r="498" spans="1:5" x14ac:dyDescent="0.3">
      <c r="A498" s="20" t="s">
        <v>825</v>
      </c>
      <c r="B498" s="21" t="s">
        <v>826</v>
      </c>
      <c r="C498" s="22">
        <v>40817</v>
      </c>
      <c r="D498" s="21" t="s">
        <v>827</v>
      </c>
      <c r="E498" s="23">
        <v>1019.67</v>
      </c>
    </row>
    <row r="499" spans="1:5" x14ac:dyDescent="0.3">
      <c r="A499" s="20" t="s">
        <v>825</v>
      </c>
      <c r="B499" s="21" t="s">
        <v>826</v>
      </c>
      <c r="C499" s="22">
        <v>40828</v>
      </c>
      <c r="D499" s="21" t="s">
        <v>828</v>
      </c>
      <c r="E499" s="23">
        <v>1024.1400000000001</v>
      </c>
    </row>
    <row r="500" spans="1:5" x14ac:dyDescent="0.3">
      <c r="A500" s="20" t="s">
        <v>825</v>
      </c>
      <c r="B500" s="21" t="s">
        <v>826</v>
      </c>
      <c r="C500" s="22">
        <v>40828</v>
      </c>
      <c r="D500" s="21" t="s">
        <v>829</v>
      </c>
      <c r="E500" s="23">
        <v>1041.52</v>
      </c>
    </row>
    <row r="501" spans="1:5" x14ac:dyDescent="0.3">
      <c r="A501" s="20" t="s">
        <v>830</v>
      </c>
      <c r="B501" s="21" t="s">
        <v>831</v>
      </c>
      <c r="C501" s="22">
        <v>40839</v>
      </c>
      <c r="D501" s="21" t="s">
        <v>832</v>
      </c>
      <c r="E501" s="23">
        <v>1022.24</v>
      </c>
    </row>
    <row r="502" spans="1:5" x14ac:dyDescent="0.3">
      <c r="A502" s="20" t="s">
        <v>830</v>
      </c>
      <c r="B502" s="21" t="s">
        <v>831</v>
      </c>
      <c r="C502" s="22">
        <v>40839</v>
      </c>
      <c r="D502" s="21" t="s">
        <v>833</v>
      </c>
      <c r="E502" s="23">
        <v>1043.67</v>
      </c>
    </row>
    <row r="503" spans="1:5" x14ac:dyDescent="0.3">
      <c r="A503" s="20" t="s">
        <v>834</v>
      </c>
      <c r="B503" s="21" t="s">
        <v>835</v>
      </c>
      <c r="C503" s="22">
        <v>40818</v>
      </c>
      <c r="D503" s="21" t="s">
        <v>836</v>
      </c>
      <c r="E503" s="23">
        <v>1180.19</v>
      </c>
    </row>
    <row r="504" spans="1:5" x14ac:dyDescent="0.3">
      <c r="A504" s="20" t="s">
        <v>834</v>
      </c>
      <c r="B504" s="21" t="s">
        <v>835</v>
      </c>
      <c r="C504" s="22">
        <v>40817</v>
      </c>
      <c r="D504" s="21" t="s">
        <v>837</v>
      </c>
      <c r="E504" s="23">
        <v>1180.19</v>
      </c>
    </row>
    <row r="505" spans="1:5" x14ac:dyDescent="0.3">
      <c r="A505" s="20" t="s">
        <v>838</v>
      </c>
      <c r="B505" s="21" t="s">
        <v>839</v>
      </c>
      <c r="C505" s="22">
        <v>40833</v>
      </c>
      <c r="D505" s="21" t="s">
        <v>840</v>
      </c>
      <c r="E505" s="23">
        <v>1016.38</v>
      </c>
    </row>
    <row r="506" spans="1:5" x14ac:dyDescent="0.3">
      <c r="A506" s="20" t="s">
        <v>838</v>
      </c>
      <c r="B506" s="21" t="s">
        <v>839</v>
      </c>
      <c r="C506" s="22">
        <v>40839</v>
      </c>
      <c r="D506" s="21" t="s">
        <v>841</v>
      </c>
      <c r="E506" s="23">
        <v>1017.12</v>
      </c>
    </row>
    <row r="507" spans="1:5" x14ac:dyDescent="0.3">
      <c r="A507" s="20" t="s">
        <v>842</v>
      </c>
      <c r="B507" s="21" t="s">
        <v>843</v>
      </c>
      <c r="C507" s="22">
        <v>40828</v>
      </c>
      <c r="D507" s="21" t="s">
        <v>844</v>
      </c>
      <c r="E507" s="23">
        <v>1020.44</v>
      </c>
    </row>
    <row r="508" spans="1:5" x14ac:dyDescent="0.3">
      <c r="A508" s="20" t="s">
        <v>842</v>
      </c>
      <c r="B508" s="21" t="s">
        <v>843</v>
      </c>
      <c r="C508" s="22">
        <v>40842</v>
      </c>
      <c r="D508" s="21" t="s">
        <v>845</v>
      </c>
      <c r="E508" s="23">
        <v>1017.72</v>
      </c>
    </row>
    <row r="509" spans="1:5" x14ac:dyDescent="0.3">
      <c r="A509" s="20" t="s">
        <v>842</v>
      </c>
      <c r="B509" s="21" t="s">
        <v>843</v>
      </c>
      <c r="C509" s="22">
        <v>40817</v>
      </c>
      <c r="D509" s="21" t="s">
        <v>846</v>
      </c>
      <c r="E509" s="23">
        <v>1015.76</v>
      </c>
    </row>
    <row r="510" spans="1:5" x14ac:dyDescent="0.3">
      <c r="A510" s="20" t="s">
        <v>842</v>
      </c>
      <c r="B510" s="21" t="s">
        <v>843</v>
      </c>
      <c r="C510" s="22">
        <v>40817</v>
      </c>
      <c r="D510" s="21" t="s">
        <v>847</v>
      </c>
      <c r="E510" s="23">
        <v>1018.47</v>
      </c>
    </row>
    <row r="511" spans="1:5" x14ac:dyDescent="0.3">
      <c r="A511" s="20" t="s">
        <v>848</v>
      </c>
      <c r="B511" s="21" t="s">
        <v>849</v>
      </c>
      <c r="C511" s="22">
        <v>40817</v>
      </c>
      <c r="D511" s="21" t="s">
        <v>850</v>
      </c>
      <c r="E511" s="23">
        <v>1071.83</v>
      </c>
    </row>
    <row r="512" spans="1:5" x14ac:dyDescent="0.3">
      <c r="A512" s="20" t="s">
        <v>842</v>
      </c>
      <c r="B512" s="21" t="s">
        <v>843</v>
      </c>
      <c r="C512" s="22">
        <v>40817</v>
      </c>
      <c r="D512" s="21" t="s">
        <v>851</v>
      </c>
      <c r="E512" s="23">
        <v>1022.22</v>
      </c>
    </row>
    <row r="513" spans="1:5" x14ac:dyDescent="0.3">
      <c r="A513" s="20" t="s">
        <v>848</v>
      </c>
      <c r="B513" s="21" t="s">
        <v>849</v>
      </c>
      <c r="C513" s="22">
        <v>40823</v>
      </c>
      <c r="D513" s="21" t="s">
        <v>852</v>
      </c>
      <c r="E513" s="23">
        <v>1022.84</v>
      </c>
    </row>
    <row r="514" spans="1:5" x14ac:dyDescent="0.3">
      <c r="A514" s="20" t="s">
        <v>848</v>
      </c>
      <c r="B514" s="21" t="s">
        <v>849</v>
      </c>
      <c r="C514" s="22">
        <v>40823</v>
      </c>
      <c r="D514" s="21" t="s">
        <v>853</v>
      </c>
      <c r="E514" s="23">
        <v>1016.53</v>
      </c>
    </row>
    <row r="515" spans="1:5" x14ac:dyDescent="0.3">
      <c r="A515" s="20" t="s">
        <v>842</v>
      </c>
      <c r="B515" s="21" t="s">
        <v>843</v>
      </c>
      <c r="C515" s="22">
        <v>40823</v>
      </c>
      <c r="D515" s="21" t="s">
        <v>854</v>
      </c>
      <c r="E515" s="23">
        <v>1023.01</v>
      </c>
    </row>
    <row r="516" spans="1:5" x14ac:dyDescent="0.3">
      <c r="A516" s="20" t="s">
        <v>842</v>
      </c>
      <c r="B516" s="21" t="s">
        <v>843</v>
      </c>
      <c r="C516" s="22">
        <v>40823</v>
      </c>
      <c r="D516" s="21" t="s">
        <v>855</v>
      </c>
      <c r="E516" s="23">
        <v>1016.07</v>
      </c>
    </row>
    <row r="517" spans="1:5" x14ac:dyDescent="0.3">
      <c r="A517" s="20" t="s">
        <v>842</v>
      </c>
      <c r="B517" s="21" t="s">
        <v>843</v>
      </c>
      <c r="C517" s="22">
        <v>40823</v>
      </c>
      <c r="D517" s="21" t="s">
        <v>856</v>
      </c>
      <c r="E517" s="23">
        <v>1022.95</v>
      </c>
    </row>
    <row r="518" spans="1:5" x14ac:dyDescent="0.3">
      <c r="A518" s="20" t="s">
        <v>842</v>
      </c>
      <c r="B518" s="21" t="s">
        <v>843</v>
      </c>
      <c r="C518" s="22">
        <v>40842</v>
      </c>
      <c r="D518" s="21" t="s">
        <v>857</v>
      </c>
      <c r="E518" s="23">
        <v>1015.16</v>
      </c>
    </row>
    <row r="519" spans="1:5" x14ac:dyDescent="0.3">
      <c r="A519" s="20" t="s">
        <v>848</v>
      </c>
      <c r="B519" s="21" t="s">
        <v>849</v>
      </c>
      <c r="C519" s="22">
        <v>40842</v>
      </c>
      <c r="D519" s="21" t="s">
        <v>858</v>
      </c>
      <c r="E519" s="23">
        <v>1027.07</v>
      </c>
    </row>
    <row r="520" spans="1:5" x14ac:dyDescent="0.3">
      <c r="A520" s="20" t="s">
        <v>848</v>
      </c>
      <c r="B520" s="21" t="s">
        <v>849</v>
      </c>
      <c r="C520" s="22">
        <v>40845</v>
      </c>
      <c r="D520" s="21" t="s">
        <v>859</v>
      </c>
      <c r="E520" s="23">
        <v>1015.72</v>
      </c>
    </row>
    <row r="521" spans="1:5" x14ac:dyDescent="0.3">
      <c r="A521" s="20" t="s">
        <v>860</v>
      </c>
      <c r="B521" s="21" t="s">
        <v>861</v>
      </c>
      <c r="C521" s="22">
        <v>40843</v>
      </c>
      <c r="D521" s="21" t="s">
        <v>862</v>
      </c>
      <c r="E521" s="23">
        <v>1019.87</v>
      </c>
    </row>
    <row r="522" spans="1:5" x14ac:dyDescent="0.3">
      <c r="A522" s="20" t="s">
        <v>860</v>
      </c>
      <c r="B522" s="21" t="s">
        <v>861</v>
      </c>
      <c r="C522" s="22">
        <v>40841</v>
      </c>
      <c r="D522" s="21" t="s">
        <v>863</v>
      </c>
      <c r="E522" s="23">
        <v>1017.15</v>
      </c>
    </row>
    <row r="523" spans="1:5" x14ac:dyDescent="0.3">
      <c r="A523" s="20" t="s">
        <v>864</v>
      </c>
      <c r="B523" s="21" t="s">
        <v>865</v>
      </c>
      <c r="C523" s="22">
        <v>40826</v>
      </c>
      <c r="D523" s="21" t="s">
        <v>866</v>
      </c>
      <c r="E523" s="23">
        <v>1026.8399999999999</v>
      </c>
    </row>
    <row r="524" spans="1:5" x14ac:dyDescent="0.3">
      <c r="A524" s="20" t="s">
        <v>864</v>
      </c>
      <c r="B524" s="21" t="s">
        <v>865</v>
      </c>
      <c r="C524" s="22">
        <v>40826</v>
      </c>
      <c r="D524" s="21" t="s">
        <v>867</v>
      </c>
      <c r="E524" s="23">
        <v>1019.08</v>
      </c>
    </row>
    <row r="525" spans="1:5" x14ac:dyDescent="0.3">
      <c r="A525" s="20" t="s">
        <v>868</v>
      </c>
      <c r="B525" s="21" t="s">
        <v>869</v>
      </c>
      <c r="C525" s="22">
        <v>40825</v>
      </c>
      <c r="D525" s="21" t="s">
        <v>870</v>
      </c>
      <c r="E525" s="23">
        <v>1019.09</v>
      </c>
    </row>
    <row r="526" spans="1:5" x14ac:dyDescent="0.3">
      <c r="A526" s="20" t="s">
        <v>871</v>
      </c>
      <c r="B526" s="21" t="s">
        <v>872</v>
      </c>
      <c r="C526" s="22">
        <v>40828</v>
      </c>
      <c r="D526" s="21" t="s">
        <v>873</v>
      </c>
      <c r="E526" s="23">
        <v>1103.6300000000001</v>
      </c>
    </row>
    <row r="527" spans="1:5" x14ac:dyDescent="0.3">
      <c r="A527" s="20" t="s">
        <v>874</v>
      </c>
      <c r="B527" s="21" t="s">
        <v>875</v>
      </c>
      <c r="C527" s="22">
        <v>40817</v>
      </c>
      <c r="D527" s="21" t="s">
        <v>876</v>
      </c>
      <c r="E527" s="23">
        <v>1027.2</v>
      </c>
    </row>
    <row r="528" spans="1:5" x14ac:dyDescent="0.3">
      <c r="A528" s="20" t="s">
        <v>877</v>
      </c>
      <c r="B528" s="21" t="s">
        <v>878</v>
      </c>
      <c r="C528" s="22">
        <v>40821</v>
      </c>
      <c r="D528" s="21" t="s">
        <v>879</v>
      </c>
      <c r="E528" s="23">
        <v>1024.68</v>
      </c>
    </row>
    <row r="529" spans="1:5" x14ac:dyDescent="0.3">
      <c r="A529" s="20" t="s">
        <v>880</v>
      </c>
      <c r="B529" s="21" t="s">
        <v>881</v>
      </c>
      <c r="C529" s="22">
        <v>40820</v>
      </c>
      <c r="D529" s="21" t="s">
        <v>882</v>
      </c>
      <c r="E529" s="23">
        <v>1024.23</v>
      </c>
    </row>
    <row r="530" spans="1:5" x14ac:dyDescent="0.3">
      <c r="A530" s="20" t="s">
        <v>880</v>
      </c>
      <c r="B530" s="21" t="s">
        <v>881</v>
      </c>
      <c r="C530" s="22">
        <v>40827</v>
      </c>
      <c r="D530" s="21" t="s">
        <v>883</v>
      </c>
      <c r="E530" s="23">
        <v>1027.96</v>
      </c>
    </row>
    <row r="531" spans="1:5" x14ac:dyDescent="0.3">
      <c r="A531" s="20" t="s">
        <v>880</v>
      </c>
      <c r="B531" s="21" t="s">
        <v>881</v>
      </c>
      <c r="C531" s="22">
        <v>40834</v>
      </c>
      <c r="D531" s="21" t="s">
        <v>884</v>
      </c>
      <c r="E531" s="23">
        <v>1022.63</v>
      </c>
    </row>
    <row r="532" spans="1:5" x14ac:dyDescent="0.3">
      <c r="A532" s="20" t="s">
        <v>885</v>
      </c>
      <c r="B532" s="21" t="s">
        <v>886</v>
      </c>
      <c r="C532" s="22">
        <v>40825</v>
      </c>
      <c r="D532" s="21" t="s">
        <v>887</v>
      </c>
      <c r="E532" s="23">
        <v>1028.26</v>
      </c>
    </row>
    <row r="533" spans="1:5" x14ac:dyDescent="0.3">
      <c r="A533" s="20" t="s">
        <v>888</v>
      </c>
      <c r="B533" s="21" t="s">
        <v>889</v>
      </c>
      <c r="C533" s="22">
        <v>40826</v>
      </c>
      <c r="D533" s="21" t="s">
        <v>890</v>
      </c>
      <c r="E533" s="23">
        <v>1019.32</v>
      </c>
    </row>
    <row r="534" spans="1:5" x14ac:dyDescent="0.3">
      <c r="A534" s="20" t="s">
        <v>891</v>
      </c>
      <c r="B534" s="21" t="s">
        <v>892</v>
      </c>
      <c r="C534" s="22">
        <v>40833</v>
      </c>
      <c r="D534" s="21" t="s">
        <v>893</v>
      </c>
      <c r="E534" s="23">
        <v>1016.85</v>
      </c>
    </row>
    <row r="535" spans="1:5" x14ac:dyDescent="0.3">
      <c r="A535" s="20" t="s">
        <v>894</v>
      </c>
      <c r="B535" s="21" t="s">
        <v>895</v>
      </c>
      <c r="C535" s="22">
        <v>40831</v>
      </c>
      <c r="D535" s="21" t="s">
        <v>896</v>
      </c>
      <c r="E535" s="23">
        <v>1020.61</v>
      </c>
    </row>
    <row r="536" spans="1:5" x14ac:dyDescent="0.3">
      <c r="A536" s="20" t="s">
        <v>897</v>
      </c>
      <c r="B536" s="21" t="s">
        <v>898</v>
      </c>
      <c r="C536" s="22">
        <v>40818</v>
      </c>
      <c r="D536" s="21" t="s">
        <v>899</v>
      </c>
      <c r="E536" s="23">
        <v>1017.81</v>
      </c>
    </row>
    <row r="537" spans="1:5" x14ac:dyDescent="0.3">
      <c r="A537" s="20" t="s">
        <v>900</v>
      </c>
      <c r="B537" s="21" t="s">
        <v>901</v>
      </c>
      <c r="C537" s="22">
        <v>40820</v>
      </c>
      <c r="D537" s="21" t="s">
        <v>902</v>
      </c>
      <c r="E537" s="23">
        <v>1154.74</v>
      </c>
    </row>
    <row r="538" spans="1:5" x14ac:dyDescent="0.3">
      <c r="A538" s="20" t="s">
        <v>903</v>
      </c>
      <c r="B538" s="21" t="s">
        <v>904</v>
      </c>
      <c r="C538" s="22">
        <v>40828</v>
      </c>
      <c r="D538" s="21" t="s">
        <v>905</v>
      </c>
      <c r="E538" s="23">
        <v>1021.19</v>
      </c>
    </row>
    <row r="539" spans="1:5" x14ac:dyDescent="0.3">
      <c r="A539" s="20" t="s">
        <v>906</v>
      </c>
      <c r="B539" s="21" t="s">
        <v>907</v>
      </c>
      <c r="C539" s="22">
        <v>40836</v>
      </c>
      <c r="D539" s="21" t="s">
        <v>908</v>
      </c>
      <c r="E539" s="23">
        <v>1017.47</v>
      </c>
    </row>
    <row r="540" spans="1:5" x14ac:dyDescent="0.3">
      <c r="A540" s="20" t="s">
        <v>909</v>
      </c>
      <c r="B540" s="21" t="s">
        <v>910</v>
      </c>
      <c r="C540" s="22">
        <v>40831</v>
      </c>
      <c r="D540" s="21" t="s">
        <v>911</v>
      </c>
      <c r="E540" s="23">
        <v>1016.49</v>
      </c>
    </row>
    <row r="541" spans="1:5" x14ac:dyDescent="0.3">
      <c r="A541" s="20" t="s">
        <v>912</v>
      </c>
      <c r="B541" s="21" t="s">
        <v>913</v>
      </c>
      <c r="C541" s="22">
        <v>40831</v>
      </c>
      <c r="D541" s="21" t="s">
        <v>914</v>
      </c>
      <c r="E541" s="23">
        <v>1015.8</v>
      </c>
    </row>
    <row r="542" spans="1:5" x14ac:dyDescent="0.3">
      <c r="A542" s="20" t="s">
        <v>915</v>
      </c>
      <c r="B542" s="21" t="s">
        <v>916</v>
      </c>
      <c r="C542" s="22">
        <v>40831</v>
      </c>
      <c r="D542" s="21" t="s">
        <v>917</v>
      </c>
      <c r="E542" s="23">
        <v>1017.46</v>
      </c>
    </row>
    <row r="543" spans="1:5" x14ac:dyDescent="0.3">
      <c r="A543" s="20" t="s">
        <v>918</v>
      </c>
      <c r="B543" s="21" t="s">
        <v>919</v>
      </c>
      <c r="C543" s="22">
        <v>40819</v>
      </c>
      <c r="D543" s="21" t="s">
        <v>920</v>
      </c>
      <c r="E543" s="23">
        <v>1021.09</v>
      </c>
    </row>
    <row r="544" spans="1:5" x14ac:dyDescent="0.3">
      <c r="A544" s="20" t="s">
        <v>918</v>
      </c>
      <c r="B544" s="21" t="s">
        <v>919</v>
      </c>
      <c r="C544" s="22">
        <v>40825</v>
      </c>
      <c r="D544" s="21" t="s">
        <v>921</v>
      </c>
      <c r="E544" s="23">
        <v>1021.23</v>
      </c>
    </row>
    <row r="545" spans="1:5" x14ac:dyDescent="0.3">
      <c r="A545" s="20" t="s">
        <v>922</v>
      </c>
      <c r="B545" s="21" t="s">
        <v>923</v>
      </c>
      <c r="C545" s="22">
        <v>40843</v>
      </c>
      <c r="D545" s="21" t="s">
        <v>924</v>
      </c>
      <c r="E545" s="23">
        <v>1050.1199999999999</v>
      </c>
    </row>
    <row r="546" spans="1:5" x14ac:dyDescent="0.3">
      <c r="A546" s="20" t="s">
        <v>925</v>
      </c>
      <c r="B546" s="21" t="s">
        <v>926</v>
      </c>
      <c r="C546" s="22">
        <v>40834</v>
      </c>
      <c r="D546" s="21" t="s">
        <v>927</v>
      </c>
      <c r="E546" s="23">
        <v>1025.3499999999999</v>
      </c>
    </row>
    <row r="547" spans="1:5" x14ac:dyDescent="0.3">
      <c r="A547" s="20" t="s">
        <v>928</v>
      </c>
      <c r="B547" s="21" t="s">
        <v>929</v>
      </c>
      <c r="C547" s="22">
        <v>40842</v>
      </c>
      <c r="D547" s="21" t="s">
        <v>930</v>
      </c>
      <c r="E547" s="23">
        <v>1017.59</v>
      </c>
    </row>
    <row r="548" spans="1:5" x14ac:dyDescent="0.3">
      <c r="A548" s="20" t="s">
        <v>931</v>
      </c>
      <c r="B548" s="21" t="s">
        <v>932</v>
      </c>
      <c r="C548" s="22">
        <v>40819</v>
      </c>
      <c r="D548" s="21" t="s">
        <v>933</v>
      </c>
      <c r="E548" s="23">
        <v>1036.6500000000001</v>
      </c>
    </row>
    <row r="549" spans="1:5" x14ac:dyDescent="0.3">
      <c r="A549" s="20" t="s">
        <v>931</v>
      </c>
      <c r="B549" s="21" t="s">
        <v>932</v>
      </c>
      <c r="C549" s="22">
        <v>40817</v>
      </c>
      <c r="D549" s="21" t="s">
        <v>934</v>
      </c>
      <c r="E549" s="23">
        <v>1037.49</v>
      </c>
    </row>
    <row r="550" spans="1:5" x14ac:dyDescent="0.3">
      <c r="A550" s="20" t="s">
        <v>931</v>
      </c>
      <c r="B550" s="21" t="s">
        <v>932</v>
      </c>
      <c r="C550" s="22">
        <v>40817</v>
      </c>
      <c r="D550" s="21" t="s">
        <v>935</v>
      </c>
      <c r="E550" s="23">
        <v>1028.8399999999999</v>
      </c>
    </row>
    <row r="551" spans="1:5" x14ac:dyDescent="0.3">
      <c r="A551" s="20" t="s">
        <v>931</v>
      </c>
      <c r="B551" s="21" t="s">
        <v>932</v>
      </c>
      <c r="C551" s="22">
        <v>40825</v>
      </c>
      <c r="D551" s="21" t="s">
        <v>936</v>
      </c>
      <c r="E551" s="23">
        <v>1030.5999999999999</v>
      </c>
    </row>
    <row r="552" spans="1:5" x14ac:dyDescent="0.3">
      <c r="A552" s="20" t="s">
        <v>931</v>
      </c>
      <c r="B552" s="21" t="s">
        <v>932</v>
      </c>
      <c r="C552" s="22">
        <v>40836</v>
      </c>
      <c r="D552" s="21" t="s">
        <v>937</v>
      </c>
      <c r="E552" s="23">
        <v>1036.08</v>
      </c>
    </row>
    <row r="553" spans="1:5" x14ac:dyDescent="0.3">
      <c r="A553" s="20" t="s">
        <v>931</v>
      </c>
      <c r="B553" s="21" t="s">
        <v>932</v>
      </c>
      <c r="C553" s="22">
        <v>40836</v>
      </c>
      <c r="D553" s="21" t="s">
        <v>938</v>
      </c>
      <c r="E553" s="23">
        <v>1043.6300000000001</v>
      </c>
    </row>
    <row r="554" spans="1:5" x14ac:dyDescent="0.3">
      <c r="A554" s="20" t="s">
        <v>939</v>
      </c>
      <c r="B554" s="21" t="s">
        <v>940</v>
      </c>
      <c r="C554" s="22">
        <v>40806</v>
      </c>
      <c r="D554" s="21" t="s">
        <v>941</v>
      </c>
      <c r="E554" s="23">
        <v>1056.3499999999999</v>
      </c>
    </row>
    <row r="555" spans="1:5" x14ac:dyDescent="0.3">
      <c r="A555" s="20" t="s">
        <v>942</v>
      </c>
      <c r="B555" s="21" t="s">
        <v>943</v>
      </c>
      <c r="C555" s="22">
        <v>40808</v>
      </c>
      <c r="D555" s="21" t="s">
        <v>944</v>
      </c>
      <c r="E555" s="23">
        <v>1018.28</v>
      </c>
    </row>
    <row r="556" spans="1:5" x14ac:dyDescent="0.3">
      <c r="A556" s="20" t="s">
        <v>945</v>
      </c>
      <c r="B556" s="21" t="s">
        <v>946</v>
      </c>
      <c r="C556" s="22">
        <v>40791</v>
      </c>
      <c r="D556" s="21" t="s">
        <v>947</v>
      </c>
      <c r="E556" s="23">
        <v>1018.68</v>
      </c>
    </row>
    <row r="557" spans="1:5" x14ac:dyDescent="0.3">
      <c r="A557" s="20" t="s">
        <v>948</v>
      </c>
      <c r="B557" s="21" t="s">
        <v>949</v>
      </c>
      <c r="C557" s="22">
        <v>40804</v>
      </c>
      <c r="D557" s="21" t="s">
        <v>950</v>
      </c>
      <c r="E557" s="23">
        <v>1099.3599999999999</v>
      </c>
    </row>
    <row r="558" spans="1:5" x14ac:dyDescent="0.3">
      <c r="A558" s="20" t="s">
        <v>951</v>
      </c>
      <c r="B558" s="21" t="s">
        <v>952</v>
      </c>
      <c r="C558" s="22">
        <v>40796</v>
      </c>
      <c r="D558" s="21" t="s">
        <v>953</v>
      </c>
      <c r="E558" s="23">
        <v>1043.6099999999999</v>
      </c>
    </row>
    <row r="559" spans="1:5" x14ac:dyDescent="0.3">
      <c r="A559" s="20" t="s">
        <v>954</v>
      </c>
      <c r="B559" s="21" t="s">
        <v>955</v>
      </c>
      <c r="C559" s="22">
        <v>40804</v>
      </c>
      <c r="D559" s="21" t="s">
        <v>956</v>
      </c>
      <c r="E559" s="23">
        <v>1016.23</v>
      </c>
    </row>
    <row r="560" spans="1:5" x14ac:dyDescent="0.3">
      <c r="A560" s="20" t="s">
        <v>957</v>
      </c>
      <c r="B560" s="21" t="s">
        <v>958</v>
      </c>
      <c r="C560" s="22">
        <v>40805</v>
      </c>
      <c r="D560" s="21" t="s">
        <v>959</v>
      </c>
      <c r="E560" s="23">
        <v>1018.02</v>
      </c>
    </row>
    <row r="561" spans="1:5" x14ac:dyDescent="0.3">
      <c r="A561" s="20" t="s">
        <v>957</v>
      </c>
      <c r="B561" s="21" t="s">
        <v>958</v>
      </c>
      <c r="C561" s="22">
        <v>40805</v>
      </c>
      <c r="D561" s="21" t="s">
        <v>960</v>
      </c>
      <c r="E561" s="23">
        <v>1018.1</v>
      </c>
    </row>
    <row r="562" spans="1:5" x14ac:dyDescent="0.3">
      <c r="A562" s="20" t="s">
        <v>961</v>
      </c>
      <c r="B562" s="21" t="s">
        <v>962</v>
      </c>
      <c r="C562" s="22">
        <v>40797</v>
      </c>
      <c r="D562" s="21" t="s">
        <v>963</v>
      </c>
      <c r="E562" s="23">
        <v>1019.06</v>
      </c>
    </row>
    <row r="563" spans="1:5" x14ac:dyDescent="0.3">
      <c r="A563" s="20" t="s">
        <v>964</v>
      </c>
      <c r="B563" s="21" t="s">
        <v>965</v>
      </c>
      <c r="C563" s="22">
        <v>40801</v>
      </c>
      <c r="D563" s="21" t="s">
        <v>966</v>
      </c>
      <c r="E563" s="23">
        <v>1016.48</v>
      </c>
    </row>
    <row r="564" spans="1:5" x14ac:dyDescent="0.3">
      <c r="A564" s="20" t="s">
        <v>967</v>
      </c>
      <c r="B564" s="21" t="s">
        <v>968</v>
      </c>
      <c r="C564" s="22">
        <v>40808</v>
      </c>
      <c r="D564" s="21" t="s">
        <v>969</v>
      </c>
      <c r="E564" s="23">
        <v>1018.42</v>
      </c>
    </row>
    <row r="565" spans="1:5" x14ac:dyDescent="0.3">
      <c r="A565" s="20" t="s">
        <v>970</v>
      </c>
      <c r="B565" s="21" t="s">
        <v>971</v>
      </c>
      <c r="C565" s="22">
        <v>40795</v>
      </c>
      <c r="D565" s="21" t="s">
        <v>972</v>
      </c>
      <c r="E565" s="23">
        <v>1297.48</v>
      </c>
    </row>
    <row r="566" spans="1:5" x14ac:dyDescent="0.3">
      <c r="A566" s="20" t="s">
        <v>973</v>
      </c>
      <c r="B566" s="21" t="s">
        <v>974</v>
      </c>
      <c r="C566" s="22">
        <v>40798</v>
      </c>
      <c r="D566" s="21" t="s">
        <v>975</v>
      </c>
      <c r="E566" s="23">
        <v>1024.5999999999999</v>
      </c>
    </row>
    <row r="567" spans="1:5" x14ac:dyDescent="0.3">
      <c r="A567" s="20" t="s">
        <v>973</v>
      </c>
      <c r="B567" s="21" t="s">
        <v>974</v>
      </c>
      <c r="C567" s="22">
        <v>40812</v>
      </c>
      <c r="D567" s="21" t="s">
        <v>976</v>
      </c>
      <c r="E567" s="23">
        <v>1017.02</v>
      </c>
    </row>
    <row r="568" spans="1:5" x14ac:dyDescent="0.3">
      <c r="A568" s="20" t="s">
        <v>977</v>
      </c>
      <c r="B568" s="21" t="s">
        <v>978</v>
      </c>
      <c r="C568" s="22">
        <v>40795</v>
      </c>
      <c r="D568" s="21" t="s">
        <v>979</v>
      </c>
      <c r="E568" s="23">
        <v>1018.02</v>
      </c>
    </row>
    <row r="569" spans="1:5" x14ac:dyDescent="0.3">
      <c r="A569" s="20" t="s">
        <v>980</v>
      </c>
      <c r="B569" s="21" t="s">
        <v>981</v>
      </c>
      <c r="C569" s="22">
        <v>40787</v>
      </c>
      <c r="D569" s="21" t="s">
        <v>982</v>
      </c>
      <c r="E569" s="23">
        <v>1015.77</v>
      </c>
    </row>
    <row r="570" spans="1:5" x14ac:dyDescent="0.3">
      <c r="A570" s="20" t="s">
        <v>983</v>
      </c>
      <c r="B570" s="21" t="s">
        <v>984</v>
      </c>
      <c r="C570" s="22">
        <v>40791</v>
      </c>
      <c r="D570" s="21" t="s">
        <v>985</v>
      </c>
      <c r="E570" s="23">
        <v>1069.3</v>
      </c>
    </row>
    <row r="571" spans="1:5" x14ac:dyDescent="0.3">
      <c r="A571" s="20" t="s">
        <v>986</v>
      </c>
      <c r="B571" s="21" t="s">
        <v>987</v>
      </c>
      <c r="C571" s="22">
        <v>40790</v>
      </c>
      <c r="D571" s="21" t="s">
        <v>988</v>
      </c>
      <c r="E571" s="23">
        <v>1020.51</v>
      </c>
    </row>
    <row r="572" spans="1:5" x14ac:dyDescent="0.3">
      <c r="A572" s="20" t="s">
        <v>989</v>
      </c>
      <c r="B572" s="21" t="s">
        <v>990</v>
      </c>
      <c r="C572" s="22">
        <v>40803</v>
      </c>
      <c r="D572" s="21" t="s">
        <v>991</v>
      </c>
      <c r="E572" s="23">
        <v>1021.68</v>
      </c>
    </row>
    <row r="573" spans="1:5" x14ac:dyDescent="0.3">
      <c r="A573" s="20" t="s">
        <v>992</v>
      </c>
      <c r="B573" s="21" t="s">
        <v>993</v>
      </c>
      <c r="C573" s="22">
        <v>40802</v>
      </c>
      <c r="D573" s="21" t="s">
        <v>994</v>
      </c>
      <c r="E573" s="23">
        <v>1028.8399999999999</v>
      </c>
    </row>
    <row r="574" spans="1:5" x14ac:dyDescent="0.3">
      <c r="A574" s="20" t="s">
        <v>995</v>
      </c>
      <c r="B574" s="21" t="s">
        <v>996</v>
      </c>
      <c r="C574" s="22">
        <v>40798</v>
      </c>
      <c r="D574" s="21" t="s">
        <v>997</v>
      </c>
      <c r="E574" s="23">
        <v>1023.64</v>
      </c>
    </row>
    <row r="575" spans="1:5" x14ac:dyDescent="0.3">
      <c r="A575" s="20" t="s">
        <v>998</v>
      </c>
      <c r="B575" s="21" t="s">
        <v>999</v>
      </c>
      <c r="C575" s="22">
        <v>40804</v>
      </c>
      <c r="D575" s="21" t="s">
        <v>1000</v>
      </c>
      <c r="E575" s="23">
        <v>2979.79</v>
      </c>
    </row>
    <row r="576" spans="1:5" x14ac:dyDescent="0.3">
      <c r="A576" s="20" t="s">
        <v>1001</v>
      </c>
      <c r="B576" s="21" t="s">
        <v>1002</v>
      </c>
      <c r="C576" s="22">
        <v>40796</v>
      </c>
      <c r="D576" s="21" t="s">
        <v>1003</v>
      </c>
      <c r="E576" s="23">
        <v>1019.26</v>
      </c>
    </row>
    <row r="577" spans="1:5" x14ac:dyDescent="0.3">
      <c r="A577" s="20" t="s">
        <v>1004</v>
      </c>
      <c r="B577" s="21" t="s">
        <v>1005</v>
      </c>
      <c r="C577" s="22">
        <v>40801</v>
      </c>
      <c r="D577" s="21" t="s">
        <v>1006</v>
      </c>
      <c r="E577" s="23">
        <v>1021.97</v>
      </c>
    </row>
    <row r="578" spans="1:5" x14ac:dyDescent="0.3">
      <c r="A578" s="20" t="s">
        <v>1007</v>
      </c>
      <c r="B578" s="21" t="s">
        <v>1008</v>
      </c>
      <c r="C578" s="22">
        <v>40813</v>
      </c>
      <c r="D578" s="21" t="s">
        <v>1009</v>
      </c>
      <c r="E578" s="23">
        <v>1019.55</v>
      </c>
    </row>
    <row r="579" spans="1:5" x14ac:dyDescent="0.3">
      <c r="A579" s="20" t="s">
        <v>1010</v>
      </c>
      <c r="B579" s="21" t="s">
        <v>1011</v>
      </c>
      <c r="C579" s="22">
        <v>40810</v>
      </c>
      <c r="D579" s="21" t="s">
        <v>1012</v>
      </c>
      <c r="E579" s="23">
        <v>1019.55</v>
      </c>
    </row>
    <row r="580" spans="1:5" x14ac:dyDescent="0.3">
      <c r="A580" s="20" t="s">
        <v>1013</v>
      </c>
      <c r="B580" s="21" t="s">
        <v>1014</v>
      </c>
      <c r="C580" s="22">
        <v>40796</v>
      </c>
      <c r="D580" s="21" t="s">
        <v>1015</v>
      </c>
      <c r="E580" s="23">
        <v>1016.78</v>
      </c>
    </row>
    <row r="581" spans="1:5" x14ac:dyDescent="0.3">
      <c r="A581" s="20" t="s">
        <v>1016</v>
      </c>
      <c r="B581" s="21" t="s">
        <v>1017</v>
      </c>
      <c r="C581" s="22">
        <v>40810</v>
      </c>
      <c r="D581" s="21" t="s">
        <v>1018</v>
      </c>
      <c r="E581" s="23">
        <v>1016.98</v>
      </c>
    </row>
    <row r="582" spans="1:5" x14ac:dyDescent="0.3">
      <c r="A582" s="20" t="s">
        <v>1019</v>
      </c>
      <c r="B582" s="21" t="s">
        <v>1020</v>
      </c>
      <c r="C582" s="22">
        <v>40810</v>
      </c>
      <c r="D582" s="21" t="s">
        <v>1021</v>
      </c>
      <c r="E582" s="23">
        <v>1020.19</v>
      </c>
    </row>
    <row r="583" spans="1:5" x14ac:dyDescent="0.3">
      <c r="A583" s="20" t="s">
        <v>1022</v>
      </c>
      <c r="B583" s="21" t="s">
        <v>1023</v>
      </c>
      <c r="C583" s="22">
        <v>40798</v>
      </c>
      <c r="D583" s="21" t="s">
        <v>1024</v>
      </c>
      <c r="E583" s="23">
        <v>1020.56</v>
      </c>
    </row>
    <row r="584" spans="1:5" x14ac:dyDescent="0.3">
      <c r="A584" s="20" t="s">
        <v>1025</v>
      </c>
      <c r="B584" s="21" t="s">
        <v>1026</v>
      </c>
      <c r="C584" s="22">
        <v>40795</v>
      </c>
      <c r="D584" s="21" t="s">
        <v>1027</v>
      </c>
      <c r="E584" s="23">
        <v>1015.7</v>
      </c>
    </row>
    <row r="585" spans="1:5" x14ac:dyDescent="0.3">
      <c r="A585" s="20" t="s">
        <v>1028</v>
      </c>
      <c r="B585" s="21" t="s">
        <v>1029</v>
      </c>
      <c r="C585" s="22">
        <v>40787</v>
      </c>
      <c r="D585" s="21" t="s">
        <v>1030</v>
      </c>
      <c r="E585" s="23">
        <v>1022.44</v>
      </c>
    </row>
    <row r="586" spans="1:5" x14ac:dyDescent="0.3">
      <c r="A586" s="20" t="s">
        <v>1031</v>
      </c>
      <c r="B586" s="21" t="s">
        <v>1032</v>
      </c>
      <c r="C586" s="22">
        <v>40806</v>
      </c>
      <c r="D586" s="21" t="s">
        <v>1033</v>
      </c>
      <c r="E586" s="23">
        <v>1017.6</v>
      </c>
    </row>
    <row r="587" spans="1:5" x14ac:dyDescent="0.3">
      <c r="A587" s="20" t="s">
        <v>1031</v>
      </c>
      <c r="B587" s="21" t="s">
        <v>1032</v>
      </c>
      <c r="C587" s="22">
        <v>40802</v>
      </c>
      <c r="D587" s="21" t="s">
        <v>1034</v>
      </c>
      <c r="E587" s="23">
        <v>1020.15</v>
      </c>
    </row>
    <row r="588" spans="1:5" x14ac:dyDescent="0.3">
      <c r="A588" s="20" t="s">
        <v>1035</v>
      </c>
      <c r="B588" s="21" t="s">
        <v>1036</v>
      </c>
      <c r="C588" s="22">
        <v>40802</v>
      </c>
      <c r="D588" s="21" t="s">
        <v>1037</v>
      </c>
      <c r="E588" s="23">
        <v>1022.16</v>
      </c>
    </row>
    <row r="589" spans="1:5" x14ac:dyDescent="0.3">
      <c r="A589" s="20" t="s">
        <v>1038</v>
      </c>
      <c r="B589" s="21" t="s">
        <v>1039</v>
      </c>
      <c r="C589" s="22">
        <v>40810</v>
      </c>
      <c r="D589" s="21" t="s">
        <v>1040</v>
      </c>
      <c r="E589" s="23">
        <v>1501.04</v>
      </c>
    </row>
    <row r="590" spans="1:5" x14ac:dyDescent="0.3">
      <c r="A590" s="20" t="s">
        <v>1041</v>
      </c>
      <c r="B590" s="21" t="s">
        <v>1042</v>
      </c>
      <c r="C590" s="22">
        <v>40796</v>
      </c>
      <c r="D590" s="21" t="s">
        <v>1043</v>
      </c>
      <c r="E590" s="23">
        <v>1019.03</v>
      </c>
    </row>
    <row r="591" spans="1:5" x14ac:dyDescent="0.3">
      <c r="A591" s="20" t="s">
        <v>1041</v>
      </c>
      <c r="B591" s="21" t="s">
        <v>1042</v>
      </c>
      <c r="C591" s="22">
        <v>40803</v>
      </c>
      <c r="D591" s="21" t="s">
        <v>1044</v>
      </c>
      <c r="E591" s="23">
        <v>1018.71</v>
      </c>
    </row>
    <row r="592" spans="1:5" x14ac:dyDescent="0.3">
      <c r="A592" s="20" t="s">
        <v>1045</v>
      </c>
      <c r="B592" s="21" t="s">
        <v>1046</v>
      </c>
      <c r="C592" s="22">
        <v>40793</v>
      </c>
      <c r="D592" s="21" t="s">
        <v>1047</v>
      </c>
      <c r="E592" s="23">
        <v>1016.56</v>
      </c>
    </row>
    <row r="593" spans="1:5" x14ac:dyDescent="0.3">
      <c r="A593" s="20" t="s">
        <v>1048</v>
      </c>
      <c r="B593" s="21" t="s">
        <v>1049</v>
      </c>
      <c r="C593" s="22">
        <v>40792</v>
      </c>
      <c r="D593" s="21" t="s">
        <v>1050</v>
      </c>
      <c r="E593" s="23">
        <v>1016.33</v>
      </c>
    </row>
    <row r="594" spans="1:5" x14ac:dyDescent="0.3">
      <c r="A594" s="20" t="s">
        <v>1051</v>
      </c>
      <c r="B594" s="21" t="s">
        <v>1052</v>
      </c>
      <c r="C594" s="22">
        <v>40789</v>
      </c>
      <c r="D594" s="21" t="s">
        <v>1053</v>
      </c>
      <c r="E594" s="23">
        <v>1018.87</v>
      </c>
    </row>
    <row r="595" spans="1:5" x14ac:dyDescent="0.3">
      <c r="A595" s="20" t="s">
        <v>1054</v>
      </c>
      <c r="B595" s="21" t="s">
        <v>1055</v>
      </c>
      <c r="C595" s="22">
        <v>40802</v>
      </c>
      <c r="D595" s="21" t="s">
        <v>1056</v>
      </c>
      <c r="E595" s="23">
        <v>1024.2</v>
      </c>
    </row>
    <row r="596" spans="1:5" x14ac:dyDescent="0.3">
      <c r="A596" s="20" t="s">
        <v>1054</v>
      </c>
      <c r="B596" s="21" t="s">
        <v>1055</v>
      </c>
      <c r="C596" s="22">
        <v>40804</v>
      </c>
      <c r="D596" s="21" t="s">
        <v>1057</v>
      </c>
      <c r="E596" s="23">
        <v>1037.8800000000001</v>
      </c>
    </row>
    <row r="597" spans="1:5" x14ac:dyDescent="0.3">
      <c r="A597" s="20" t="s">
        <v>1058</v>
      </c>
      <c r="B597" s="21" t="s">
        <v>1059</v>
      </c>
      <c r="C597" s="22">
        <v>40816</v>
      </c>
      <c r="D597" s="21" t="s">
        <v>1060</v>
      </c>
      <c r="E597" s="23">
        <v>1017.61</v>
      </c>
    </row>
    <row r="598" spans="1:5" x14ac:dyDescent="0.3">
      <c r="A598" s="20" t="s">
        <v>1061</v>
      </c>
      <c r="B598" s="21" t="s">
        <v>1062</v>
      </c>
      <c r="C598" s="22">
        <v>40816</v>
      </c>
      <c r="D598" s="21" t="s">
        <v>1063</v>
      </c>
      <c r="E598" s="23">
        <v>1034.82</v>
      </c>
    </row>
    <row r="599" spans="1:5" x14ac:dyDescent="0.3">
      <c r="A599" s="20" t="s">
        <v>1064</v>
      </c>
      <c r="B599" s="21" t="s">
        <v>1065</v>
      </c>
      <c r="C599" s="22" t="s">
        <v>1066</v>
      </c>
      <c r="D599" s="21" t="s">
        <v>1067</v>
      </c>
      <c r="E599" s="23">
        <v>3464.8</v>
      </c>
    </row>
    <row r="600" spans="1:5" x14ac:dyDescent="0.3">
      <c r="A600" s="20" t="s">
        <v>1064</v>
      </c>
      <c r="B600" s="21" t="s">
        <v>1065</v>
      </c>
      <c r="C600" s="22" t="s">
        <v>1066</v>
      </c>
      <c r="D600" s="21" t="s">
        <v>1067</v>
      </c>
      <c r="E600" s="23">
        <v>2082.67</v>
      </c>
    </row>
    <row r="601" spans="1:5" x14ac:dyDescent="0.3">
      <c r="A601" s="20" t="s">
        <v>1068</v>
      </c>
      <c r="B601" s="21" t="s">
        <v>1069</v>
      </c>
      <c r="C601" s="22" t="s">
        <v>1066</v>
      </c>
      <c r="D601" s="21" t="s">
        <v>1070</v>
      </c>
      <c r="E601" s="23">
        <v>1587.28</v>
      </c>
    </row>
    <row r="602" spans="1:5" x14ac:dyDescent="0.3">
      <c r="A602" s="20" t="s">
        <v>1071</v>
      </c>
      <c r="B602" s="21" t="s">
        <v>1072</v>
      </c>
      <c r="C602" s="25" t="s">
        <v>1066</v>
      </c>
      <c r="D602" s="21" t="s">
        <v>1073</v>
      </c>
      <c r="E602" s="23">
        <v>2829.81</v>
      </c>
    </row>
    <row r="603" spans="1:5" x14ac:dyDescent="0.3">
      <c r="A603" s="20" t="s">
        <v>1074</v>
      </c>
      <c r="B603" s="21" t="s">
        <v>1075</v>
      </c>
      <c r="C603" s="22">
        <v>40801</v>
      </c>
      <c r="D603" s="21" t="s">
        <v>1076</v>
      </c>
      <c r="E603" s="23">
        <v>2087.67</v>
      </c>
    </row>
    <row r="604" spans="1:5" x14ac:dyDescent="0.3">
      <c r="A604" s="20" t="s">
        <v>1074</v>
      </c>
      <c r="B604" s="21" t="s">
        <v>1075</v>
      </c>
      <c r="C604" s="22" t="s">
        <v>1066</v>
      </c>
      <c r="D604" s="21" t="s">
        <v>1076</v>
      </c>
      <c r="E604" s="23">
        <v>1813.7</v>
      </c>
    </row>
    <row r="605" spans="1:5" x14ac:dyDescent="0.3">
      <c r="A605" s="20" t="s">
        <v>1077</v>
      </c>
      <c r="B605" s="21" t="s">
        <v>1078</v>
      </c>
      <c r="C605" s="22">
        <v>40787</v>
      </c>
      <c r="D605" s="21" t="s">
        <v>1079</v>
      </c>
      <c r="E605" s="23">
        <v>10412.84</v>
      </c>
    </row>
    <row r="606" spans="1:5" x14ac:dyDescent="0.3">
      <c r="A606" s="20" t="s">
        <v>1077</v>
      </c>
      <c r="B606" s="21" t="s">
        <v>1078</v>
      </c>
      <c r="C606" s="22">
        <v>40787</v>
      </c>
      <c r="D606" s="21" t="s">
        <v>1079</v>
      </c>
      <c r="E606" s="23">
        <v>2119.12</v>
      </c>
    </row>
    <row r="607" spans="1:5" x14ac:dyDescent="0.3">
      <c r="A607" s="20" t="s">
        <v>1077</v>
      </c>
      <c r="B607" s="21" t="s">
        <v>1078</v>
      </c>
      <c r="C607" s="22">
        <v>40787</v>
      </c>
      <c r="D607" s="21" t="s">
        <v>1079</v>
      </c>
      <c r="E607" s="23">
        <v>2052.88</v>
      </c>
    </row>
    <row r="608" spans="1:5" x14ac:dyDescent="0.3">
      <c r="A608" s="20" t="s">
        <v>1077</v>
      </c>
      <c r="B608" s="21" t="s">
        <v>1078</v>
      </c>
      <c r="C608" s="22">
        <v>40787</v>
      </c>
      <c r="D608" s="21" t="s">
        <v>1079</v>
      </c>
      <c r="E608" s="23">
        <v>1015</v>
      </c>
    </row>
    <row r="609" spans="2:5" x14ac:dyDescent="0.3">
      <c r="B609">
        <f>COUNTA(B1:B608)</f>
        <v>608</v>
      </c>
      <c r="E609" s="26"/>
    </row>
  </sheetData>
  <autoFilter ref="A1:E608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B24" sqref="B24"/>
    </sheetView>
  </sheetViews>
  <sheetFormatPr defaultRowHeight="14.4" x14ac:dyDescent="0.3"/>
  <cols>
    <col min="1" max="1" width="6.5546875" bestFit="1" customWidth="1"/>
    <col min="2" max="2" width="31.33203125" bestFit="1" customWidth="1"/>
    <col min="3" max="3" width="19.5546875" bestFit="1" customWidth="1"/>
    <col min="4" max="4" width="15.109375" bestFit="1" customWidth="1"/>
    <col min="5" max="5" width="16.33203125" bestFit="1" customWidth="1"/>
    <col min="6" max="6" width="20.33203125" bestFit="1" customWidth="1"/>
  </cols>
  <sheetData>
    <row r="1" spans="1:6" ht="1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8" x14ac:dyDescent="0.3">
      <c r="A2" s="4">
        <v>1</v>
      </c>
      <c r="B2" s="5" t="s">
        <v>6</v>
      </c>
      <c r="C2" s="6">
        <v>8</v>
      </c>
      <c r="D2" s="7">
        <v>1592</v>
      </c>
      <c r="E2" s="7">
        <v>562.77</v>
      </c>
      <c r="F2" s="8"/>
    </row>
    <row r="3" spans="1:6" ht="18" x14ac:dyDescent="0.3">
      <c r="A3" s="4">
        <v>2</v>
      </c>
      <c r="B3" s="5" t="s">
        <v>7</v>
      </c>
      <c r="C3" s="6">
        <v>8</v>
      </c>
      <c r="D3" s="7">
        <v>1088</v>
      </c>
      <c r="E3" s="7">
        <v>396.9</v>
      </c>
      <c r="F3" s="8"/>
    </row>
    <row r="4" spans="1:6" ht="18" x14ac:dyDescent="0.3">
      <c r="A4" s="4">
        <v>3</v>
      </c>
      <c r="B4" s="5" t="s">
        <v>8</v>
      </c>
      <c r="C4" s="6">
        <v>8</v>
      </c>
      <c r="D4" s="7">
        <v>1680</v>
      </c>
      <c r="E4" s="7">
        <v>752.64</v>
      </c>
      <c r="F4" s="8"/>
    </row>
    <row r="5" spans="1:6" ht="18" x14ac:dyDescent="0.3">
      <c r="A5" s="4">
        <v>4</v>
      </c>
      <c r="B5" s="5" t="s">
        <v>9</v>
      </c>
      <c r="C5" s="6">
        <v>9</v>
      </c>
      <c r="D5" s="7">
        <v>2133</v>
      </c>
      <c r="E5" s="7">
        <v>922.74</v>
      </c>
      <c r="F5" s="8"/>
    </row>
    <row r="6" spans="1:6" ht="18" x14ac:dyDescent="0.3">
      <c r="A6" s="4">
        <v>5</v>
      </c>
      <c r="B6" s="5" t="s">
        <v>10</v>
      </c>
      <c r="C6" s="6">
        <v>10</v>
      </c>
      <c r="D6" s="7">
        <v>1610</v>
      </c>
      <c r="E6" s="7">
        <v>579.12</v>
      </c>
      <c r="F6" s="8"/>
    </row>
    <row r="7" spans="1:6" ht="18" x14ac:dyDescent="0.3">
      <c r="A7" s="4">
        <v>6</v>
      </c>
      <c r="B7" s="5" t="s">
        <v>11</v>
      </c>
      <c r="C7" s="6">
        <v>10</v>
      </c>
      <c r="D7" s="7">
        <v>1540</v>
      </c>
      <c r="E7" s="7">
        <v>569.79999999999995</v>
      </c>
      <c r="F7" s="8"/>
    </row>
    <row r="8" spans="1:6" ht="18" x14ac:dyDescent="0.3">
      <c r="A8" s="4">
        <v>7</v>
      </c>
      <c r="B8" s="5" t="s">
        <v>12</v>
      </c>
      <c r="C8" s="6">
        <v>5</v>
      </c>
      <c r="D8" s="7">
        <v>1316</v>
      </c>
      <c r="E8" s="7">
        <v>427.57</v>
      </c>
      <c r="F8" s="8"/>
    </row>
    <row r="9" spans="1:6" ht="18" x14ac:dyDescent="0.3">
      <c r="A9" s="4">
        <v>8</v>
      </c>
      <c r="B9" s="5" t="s">
        <v>13</v>
      </c>
      <c r="C9" s="6">
        <v>7</v>
      </c>
      <c r="D9" s="7">
        <v>1799</v>
      </c>
      <c r="E9" s="7">
        <v>708.81</v>
      </c>
      <c r="F9" s="8"/>
    </row>
    <row r="10" spans="1:6" ht="18" x14ac:dyDescent="0.3">
      <c r="A10" s="4">
        <v>9</v>
      </c>
      <c r="B10" s="5" t="s">
        <v>14</v>
      </c>
      <c r="C10" s="6">
        <v>8</v>
      </c>
      <c r="D10" s="7">
        <v>1624</v>
      </c>
      <c r="E10" s="7">
        <v>621.34</v>
      </c>
      <c r="F10" s="8"/>
    </row>
    <row r="11" spans="1:6" ht="18" x14ac:dyDescent="0.3">
      <c r="A11" s="4">
        <v>10</v>
      </c>
      <c r="B11" s="5" t="s">
        <v>15</v>
      </c>
      <c r="C11" s="6">
        <v>6</v>
      </c>
      <c r="D11" s="7">
        <v>726</v>
      </c>
      <c r="E11" s="7">
        <v>235.88</v>
      </c>
      <c r="F11" s="8"/>
    </row>
    <row r="12" spans="1:6" ht="18" x14ac:dyDescent="0.3">
      <c r="A12" s="4">
        <v>11</v>
      </c>
      <c r="B12" s="5" t="s">
        <v>16</v>
      </c>
      <c r="C12" s="6">
        <v>9</v>
      </c>
      <c r="D12" s="7">
        <v>2277</v>
      </c>
      <c r="E12" s="7">
        <v>965.68</v>
      </c>
      <c r="F12" s="8"/>
    </row>
    <row r="13" spans="1:6" ht="18" x14ac:dyDescent="0.3">
      <c r="A13" s="4">
        <v>12</v>
      </c>
      <c r="B13" s="5" t="s">
        <v>17</v>
      </c>
      <c r="C13" s="6">
        <v>6</v>
      </c>
      <c r="D13" s="7">
        <v>714</v>
      </c>
      <c r="E13" s="7">
        <v>220.98</v>
      </c>
      <c r="F13" s="8"/>
    </row>
    <row r="14" spans="1:6" ht="18.600000000000001" thickBot="1" x14ac:dyDescent="0.35">
      <c r="A14" s="9">
        <v>13</v>
      </c>
      <c r="B14" s="10" t="s">
        <v>18</v>
      </c>
      <c r="C14" s="11">
        <v>9</v>
      </c>
      <c r="D14" s="12">
        <v>2682</v>
      </c>
      <c r="E14" s="12">
        <v>1023.18</v>
      </c>
      <c r="F14" s="8"/>
    </row>
    <row r="15" spans="1:6" ht="18.600000000000001" thickBot="1" x14ac:dyDescent="0.35">
      <c r="A15" s="13"/>
      <c r="B15" s="13"/>
      <c r="C15" s="13"/>
      <c r="D15" s="13"/>
      <c r="E15" s="13"/>
      <c r="F15" s="13"/>
    </row>
    <row r="16" spans="1:6" ht="18" x14ac:dyDescent="0.35">
      <c r="A16" s="13"/>
      <c r="B16" s="114" t="s">
        <v>19</v>
      </c>
      <c r="C16" s="115"/>
      <c r="D16" s="115"/>
      <c r="E16" s="115"/>
      <c r="F16" s="14"/>
    </row>
    <row r="17" spans="1:6" ht="18" x14ac:dyDescent="0.35">
      <c r="A17" s="13"/>
      <c r="B17" s="116" t="s">
        <v>20</v>
      </c>
      <c r="C17" s="117"/>
      <c r="D17" s="117"/>
      <c r="E17" s="117"/>
      <c r="F17" s="15"/>
    </row>
    <row r="18" spans="1:6" ht="18" x14ac:dyDescent="0.35">
      <c r="A18" s="13"/>
      <c r="B18" s="116" t="s">
        <v>21</v>
      </c>
      <c r="C18" s="117"/>
      <c r="D18" s="117"/>
      <c r="E18" s="117"/>
      <c r="F18" s="15"/>
    </row>
    <row r="19" spans="1:6" ht="18" x14ac:dyDescent="0.35">
      <c r="A19" s="16"/>
      <c r="B19" s="116" t="s">
        <v>22</v>
      </c>
      <c r="C19" s="117"/>
      <c r="D19" s="117"/>
      <c r="E19" s="117"/>
      <c r="F19" s="15"/>
    </row>
    <row r="20" spans="1:6" ht="18.600000000000001" thickBot="1" x14ac:dyDescent="0.4">
      <c r="A20" s="16"/>
      <c r="B20" s="118" t="s">
        <v>23</v>
      </c>
      <c r="C20" s="119"/>
      <c r="D20" s="119"/>
      <c r="E20" s="119"/>
      <c r="F20" s="15"/>
    </row>
  </sheetData>
  <mergeCells count="5">
    <mergeCell ref="B16:E16"/>
    <mergeCell ref="B17:E17"/>
    <mergeCell ref="B18:E18"/>
    <mergeCell ref="B19:E19"/>
    <mergeCell ref="B20:E20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9"/>
  <sheetViews>
    <sheetView workbookViewId="0">
      <selection activeCell="H15" sqref="H15"/>
    </sheetView>
  </sheetViews>
  <sheetFormatPr defaultColWidth="12" defaultRowHeight="14.4" x14ac:dyDescent="0.3"/>
  <cols>
    <col min="1" max="1" width="14.44140625" style="27" bestFit="1" customWidth="1"/>
    <col min="2" max="2" width="31.44140625" customWidth="1"/>
    <col min="3" max="3" width="12" customWidth="1"/>
    <col min="4" max="4" width="17" bestFit="1" customWidth="1"/>
    <col min="5" max="5" width="14.5546875" style="23" customWidth="1"/>
    <col min="8" max="8" width="17.6640625" customWidth="1"/>
    <col min="9" max="9" width="15.88671875" bestFit="1" customWidth="1"/>
  </cols>
  <sheetData>
    <row r="1" spans="1:11" x14ac:dyDescent="0.3">
      <c r="A1" s="17" t="s">
        <v>24</v>
      </c>
      <c r="B1" s="18" t="s">
        <v>25</v>
      </c>
      <c r="C1" s="18" t="s">
        <v>26</v>
      </c>
      <c r="D1" s="18" t="s">
        <v>27</v>
      </c>
      <c r="E1" s="19" t="s">
        <v>28</v>
      </c>
      <c r="I1" s="18" t="s">
        <v>24</v>
      </c>
      <c r="J1" s="18" t="s">
        <v>26</v>
      </c>
      <c r="K1" s="18" t="s">
        <v>26</v>
      </c>
    </row>
    <row r="2" spans="1:11" x14ac:dyDescent="0.3">
      <c r="A2" s="20" t="s">
        <v>29</v>
      </c>
      <c r="B2" s="21" t="s">
        <v>30</v>
      </c>
      <c r="C2" s="22">
        <v>40761</v>
      </c>
      <c r="D2" s="21" t="s">
        <v>31</v>
      </c>
      <c r="E2" s="23">
        <v>1017.69</v>
      </c>
      <c r="I2" s="20"/>
    </row>
    <row r="3" spans="1:11" x14ac:dyDescent="0.3">
      <c r="A3" s="20" t="s">
        <v>32</v>
      </c>
      <c r="B3" s="21" t="s">
        <v>33</v>
      </c>
      <c r="C3" s="22">
        <v>40773</v>
      </c>
      <c r="D3" s="21" t="s">
        <v>34</v>
      </c>
      <c r="E3" s="23">
        <v>1045.74</v>
      </c>
    </row>
    <row r="4" spans="1:11" x14ac:dyDescent="0.3">
      <c r="A4" s="20" t="s">
        <v>35</v>
      </c>
      <c r="B4" s="21" t="s">
        <v>36</v>
      </c>
      <c r="C4" s="22">
        <v>40756</v>
      </c>
      <c r="D4" s="21" t="s">
        <v>37</v>
      </c>
      <c r="E4" s="23">
        <v>1015.8</v>
      </c>
      <c r="H4" t="s">
        <v>38</v>
      </c>
    </row>
    <row r="5" spans="1:11" x14ac:dyDescent="0.3">
      <c r="A5" s="20" t="s">
        <v>35</v>
      </c>
      <c r="B5" s="21" t="s">
        <v>36</v>
      </c>
      <c r="C5" s="22">
        <v>40756</v>
      </c>
      <c r="D5" s="21" t="s">
        <v>39</v>
      </c>
      <c r="E5" s="23">
        <v>1015.91</v>
      </c>
      <c r="H5" t="s">
        <v>40</v>
      </c>
      <c r="I5" s="23"/>
    </row>
    <row r="6" spans="1:11" x14ac:dyDescent="0.3">
      <c r="A6" s="20" t="s">
        <v>35</v>
      </c>
      <c r="B6" s="21" t="s">
        <v>36</v>
      </c>
      <c r="C6" s="22">
        <v>40756</v>
      </c>
      <c r="D6" s="21" t="s">
        <v>41</v>
      </c>
      <c r="E6" s="23">
        <v>1016.3</v>
      </c>
    </row>
    <row r="7" spans="1:11" x14ac:dyDescent="0.3">
      <c r="A7" s="20" t="s">
        <v>35</v>
      </c>
      <c r="B7" s="21" t="s">
        <v>36</v>
      </c>
      <c r="C7" s="22">
        <v>40756</v>
      </c>
      <c r="D7" s="21" t="s">
        <v>42</v>
      </c>
      <c r="E7" s="23">
        <v>1015.44</v>
      </c>
    </row>
    <row r="8" spans="1:11" x14ac:dyDescent="0.3">
      <c r="A8" s="20" t="s">
        <v>35</v>
      </c>
      <c r="B8" s="21" t="s">
        <v>36</v>
      </c>
      <c r="C8" s="22">
        <v>40766</v>
      </c>
      <c r="D8" s="21" t="s">
        <v>43</v>
      </c>
      <c r="E8" s="23">
        <v>1015.57</v>
      </c>
    </row>
    <row r="9" spans="1:11" x14ac:dyDescent="0.3">
      <c r="A9" s="20" t="s">
        <v>44</v>
      </c>
      <c r="B9" s="21" t="s">
        <v>45</v>
      </c>
      <c r="C9" s="22">
        <v>40758</v>
      </c>
      <c r="D9" s="21" t="s">
        <v>46</v>
      </c>
      <c r="E9" s="23">
        <v>1029.8399999999999</v>
      </c>
    </row>
    <row r="10" spans="1:11" x14ac:dyDescent="0.3">
      <c r="A10" s="20" t="s">
        <v>44</v>
      </c>
      <c r="B10" s="21" t="s">
        <v>45</v>
      </c>
      <c r="C10" s="22">
        <v>40777</v>
      </c>
      <c r="D10" s="21" t="s">
        <v>47</v>
      </c>
      <c r="E10" s="23">
        <v>1027.72</v>
      </c>
    </row>
    <row r="11" spans="1:11" x14ac:dyDescent="0.3">
      <c r="A11" s="20" t="s">
        <v>48</v>
      </c>
      <c r="B11" s="21" t="s">
        <v>49</v>
      </c>
      <c r="C11" s="22">
        <v>40773</v>
      </c>
      <c r="D11" s="21" t="s">
        <v>50</v>
      </c>
      <c r="E11" s="23">
        <v>1016.44</v>
      </c>
    </row>
    <row r="12" spans="1:11" x14ac:dyDescent="0.3">
      <c r="A12" s="20" t="s">
        <v>51</v>
      </c>
      <c r="B12" s="21" t="s">
        <v>52</v>
      </c>
      <c r="C12" s="22">
        <v>40766</v>
      </c>
      <c r="D12" s="21" t="s">
        <v>53</v>
      </c>
      <c r="E12" s="23">
        <v>1016.16</v>
      </c>
    </row>
    <row r="13" spans="1:11" x14ac:dyDescent="0.3">
      <c r="A13" s="20" t="s">
        <v>51</v>
      </c>
      <c r="B13" s="21" t="s">
        <v>52</v>
      </c>
      <c r="C13" s="22">
        <v>40780</v>
      </c>
      <c r="D13" s="21" t="s">
        <v>54</v>
      </c>
      <c r="E13" s="23">
        <v>1016.6</v>
      </c>
    </row>
    <row r="14" spans="1:11" x14ac:dyDescent="0.3">
      <c r="A14" s="20" t="s">
        <v>51</v>
      </c>
      <c r="B14" s="21" t="s">
        <v>52</v>
      </c>
      <c r="C14" s="22">
        <v>40763</v>
      </c>
      <c r="D14" s="21" t="s">
        <v>55</v>
      </c>
      <c r="E14" s="23">
        <v>1017.76</v>
      </c>
    </row>
    <row r="15" spans="1:11" x14ac:dyDescent="0.3">
      <c r="A15" s="20" t="s">
        <v>51</v>
      </c>
      <c r="B15" s="21" t="s">
        <v>52</v>
      </c>
      <c r="C15" s="22">
        <v>40763</v>
      </c>
      <c r="D15" s="21" t="s">
        <v>56</v>
      </c>
      <c r="E15" s="23">
        <v>1015.89</v>
      </c>
    </row>
    <row r="16" spans="1:11" x14ac:dyDescent="0.3">
      <c r="A16" s="20" t="s">
        <v>57</v>
      </c>
      <c r="B16" s="21" t="s">
        <v>58</v>
      </c>
      <c r="C16" s="22">
        <v>40768</v>
      </c>
      <c r="D16" s="21" t="s">
        <v>59</v>
      </c>
      <c r="E16" s="23">
        <v>1032.73</v>
      </c>
    </row>
    <row r="17" spans="1:5" x14ac:dyDescent="0.3">
      <c r="A17" s="20" t="s">
        <v>51</v>
      </c>
      <c r="B17" s="21" t="s">
        <v>52</v>
      </c>
      <c r="C17" s="22">
        <v>40768</v>
      </c>
      <c r="D17" s="21" t="s">
        <v>60</v>
      </c>
      <c r="E17" s="23">
        <v>1015.13</v>
      </c>
    </row>
    <row r="18" spans="1:5" x14ac:dyDescent="0.3">
      <c r="A18" s="20" t="s">
        <v>57</v>
      </c>
      <c r="B18" s="21" t="s">
        <v>58</v>
      </c>
      <c r="C18" s="22">
        <v>40770</v>
      </c>
      <c r="D18" s="21" t="s">
        <v>61</v>
      </c>
      <c r="E18" s="23">
        <v>1049.94</v>
      </c>
    </row>
    <row r="19" spans="1:5" x14ac:dyDescent="0.3">
      <c r="A19" s="20" t="s">
        <v>51</v>
      </c>
      <c r="B19" s="21" t="s">
        <v>52</v>
      </c>
      <c r="C19" s="22">
        <v>40770</v>
      </c>
      <c r="D19" s="21" t="s">
        <v>62</v>
      </c>
      <c r="E19" s="23">
        <v>1016.18</v>
      </c>
    </row>
    <row r="20" spans="1:5" x14ac:dyDescent="0.3">
      <c r="A20" s="20" t="s">
        <v>63</v>
      </c>
      <c r="B20" s="21" t="s">
        <v>64</v>
      </c>
      <c r="C20" s="22">
        <v>40760</v>
      </c>
      <c r="D20" s="21" t="s">
        <v>65</v>
      </c>
      <c r="E20" s="23">
        <v>1015.64</v>
      </c>
    </row>
    <row r="21" spans="1:5" x14ac:dyDescent="0.3">
      <c r="A21" s="20" t="s">
        <v>63</v>
      </c>
      <c r="B21" s="21" t="s">
        <v>64</v>
      </c>
      <c r="C21" s="22">
        <v>40781</v>
      </c>
      <c r="D21" s="21" t="s">
        <v>66</v>
      </c>
      <c r="E21" s="23">
        <v>1017.06</v>
      </c>
    </row>
    <row r="22" spans="1:5" x14ac:dyDescent="0.3">
      <c r="A22" s="20" t="s">
        <v>63</v>
      </c>
      <c r="B22" s="21" t="s">
        <v>64</v>
      </c>
      <c r="C22" s="22">
        <v>40781</v>
      </c>
      <c r="D22" s="21" t="s">
        <v>67</v>
      </c>
      <c r="E22" s="23">
        <v>1018.92</v>
      </c>
    </row>
    <row r="23" spans="1:5" x14ac:dyDescent="0.3">
      <c r="A23" s="20" t="s">
        <v>68</v>
      </c>
      <c r="B23" s="21" t="s">
        <v>69</v>
      </c>
      <c r="C23" s="22">
        <v>40779</v>
      </c>
      <c r="D23" s="21" t="s">
        <v>70</v>
      </c>
      <c r="E23" s="23">
        <v>1023.32</v>
      </c>
    </row>
    <row r="24" spans="1:5" x14ac:dyDescent="0.3">
      <c r="A24" s="20" t="s">
        <v>71</v>
      </c>
      <c r="B24" s="21" t="s">
        <v>72</v>
      </c>
      <c r="C24" s="22">
        <v>40772</v>
      </c>
      <c r="D24" s="21" t="s">
        <v>73</v>
      </c>
      <c r="E24" s="23">
        <v>1018.83</v>
      </c>
    </row>
    <row r="25" spans="1:5" x14ac:dyDescent="0.3">
      <c r="A25" s="20" t="s">
        <v>74</v>
      </c>
      <c r="B25" s="21" t="s">
        <v>75</v>
      </c>
      <c r="C25" s="22">
        <v>40762</v>
      </c>
      <c r="D25" s="21" t="s">
        <v>76</v>
      </c>
      <c r="E25" s="23">
        <v>2644.49</v>
      </c>
    </row>
    <row r="26" spans="1:5" x14ac:dyDescent="0.3">
      <c r="A26" s="20" t="s">
        <v>74</v>
      </c>
      <c r="B26" s="21" t="s">
        <v>75</v>
      </c>
      <c r="C26" s="22">
        <v>40764</v>
      </c>
      <c r="D26" s="21" t="s">
        <v>77</v>
      </c>
      <c r="E26" s="23">
        <v>2226.04</v>
      </c>
    </row>
    <row r="27" spans="1:5" x14ac:dyDescent="0.3">
      <c r="A27" s="20" t="s">
        <v>74</v>
      </c>
      <c r="B27" s="21" t="s">
        <v>75</v>
      </c>
      <c r="C27" s="22">
        <v>40770</v>
      </c>
      <c r="D27" s="21" t="s">
        <v>78</v>
      </c>
      <c r="E27" s="23">
        <v>1019.4</v>
      </c>
    </row>
    <row r="28" spans="1:5" x14ac:dyDescent="0.3">
      <c r="A28" s="20" t="s">
        <v>74</v>
      </c>
      <c r="B28" s="21" t="s">
        <v>75</v>
      </c>
      <c r="C28" s="22">
        <v>40770</v>
      </c>
      <c r="D28" s="21" t="s">
        <v>79</v>
      </c>
      <c r="E28" s="23">
        <v>1051.3699999999999</v>
      </c>
    </row>
    <row r="29" spans="1:5" x14ac:dyDescent="0.3">
      <c r="A29" s="20" t="s">
        <v>74</v>
      </c>
      <c r="B29" s="21" t="s">
        <v>75</v>
      </c>
      <c r="C29" s="22">
        <v>40779</v>
      </c>
      <c r="D29" s="21" t="s">
        <v>80</v>
      </c>
      <c r="E29" s="23">
        <v>1497.58</v>
      </c>
    </row>
    <row r="30" spans="1:5" x14ac:dyDescent="0.3">
      <c r="A30" s="20" t="s">
        <v>74</v>
      </c>
      <c r="B30" s="21" t="s">
        <v>75</v>
      </c>
      <c r="C30" s="22">
        <v>40756</v>
      </c>
      <c r="D30" s="21" t="s">
        <v>81</v>
      </c>
      <c r="E30" s="23">
        <v>4270.84</v>
      </c>
    </row>
    <row r="31" spans="1:5" x14ac:dyDescent="0.3">
      <c r="A31" s="20" t="s">
        <v>74</v>
      </c>
      <c r="B31" s="21" t="s">
        <v>75</v>
      </c>
      <c r="C31" s="22">
        <v>40763</v>
      </c>
      <c r="D31" s="21" t="s">
        <v>82</v>
      </c>
      <c r="E31" s="23">
        <v>1576.22</v>
      </c>
    </row>
    <row r="32" spans="1:5" x14ac:dyDescent="0.3">
      <c r="A32" s="20" t="s">
        <v>74</v>
      </c>
      <c r="B32" s="21" t="s">
        <v>75</v>
      </c>
      <c r="C32" s="22">
        <v>40763</v>
      </c>
      <c r="D32" s="21" t="s">
        <v>83</v>
      </c>
      <c r="E32" s="23">
        <v>1473.95</v>
      </c>
    </row>
    <row r="33" spans="1:5" x14ac:dyDescent="0.3">
      <c r="A33" s="20" t="s">
        <v>74</v>
      </c>
      <c r="B33" s="21" t="s">
        <v>75</v>
      </c>
      <c r="C33" s="22">
        <v>40763</v>
      </c>
      <c r="D33" s="21" t="s">
        <v>84</v>
      </c>
      <c r="E33" s="23">
        <v>1982.1</v>
      </c>
    </row>
    <row r="34" spans="1:5" x14ac:dyDescent="0.3">
      <c r="A34" s="20" t="s">
        <v>74</v>
      </c>
      <c r="B34" s="21" t="s">
        <v>75</v>
      </c>
      <c r="C34" s="22">
        <v>40763</v>
      </c>
      <c r="D34" s="21" t="s">
        <v>85</v>
      </c>
      <c r="E34" s="23">
        <v>1169.08</v>
      </c>
    </row>
    <row r="35" spans="1:5" x14ac:dyDescent="0.3">
      <c r="A35" s="20" t="s">
        <v>74</v>
      </c>
      <c r="B35" s="21" t="s">
        <v>75</v>
      </c>
      <c r="C35" s="22">
        <v>40763</v>
      </c>
      <c r="D35" s="21" t="s">
        <v>86</v>
      </c>
      <c r="E35" s="23">
        <v>4270.84</v>
      </c>
    </row>
    <row r="36" spans="1:5" x14ac:dyDescent="0.3">
      <c r="A36" s="20" t="s">
        <v>74</v>
      </c>
      <c r="B36" s="21" t="s">
        <v>75</v>
      </c>
      <c r="C36" s="22">
        <v>40771</v>
      </c>
      <c r="D36" s="21" t="s">
        <v>87</v>
      </c>
      <c r="E36" s="23">
        <v>1746.1</v>
      </c>
    </row>
    <row r="37" spans="1:5" x14ac:dyDescent="0.3">
      <c r="A37" s="20" t="s">
        <v>74</v>
      </c>
      <c r="B37" s="21" t="s">
        <v>75</v>
      </c>
      <c r="C37" s="22">
        <v>40774</v>
      </c>
      <c r="D37" s="21" t="s">
        <v>88</v>
      </c>
      <c r="E37" s="23">
        <v>3157.72</v>
      </c>
    </row>
    <row r="38" spans="1:5" x14ac:dyDescent="0.3">
      <c r="A38" s="20" t="s">
        <v>74</v>
      </c>
      <c r="B38" s="21" t="s">
        <v>75</v>
      </c>
      <c r="C38" s="22">
        <v>40777</v>
      </c>
      <c r="D38" s="21" t="s">
        <v>89</v>
      </c>
      <c r="E38" s="23">
        <v>2592.2799999999997</v>
      </c>
    </row>
    <row r="39" spans="1:5" x14ac:dyDescent="0.3">
      <c r="A39" s="20" t="s">
        <v>74</v>
      </c>
      <c r="B39" s="21" t="s">
        <v>75</v>
      </c>
      <c r="C39" s="22">
        <v>40757</v>
      </c>
      <c r="D39" s="21" t="s">
        <v>90</v>
      </c>
      <c r="E39" s="23">
        <v>1421.7</v>
      </c>
    </row>
    <row r="40" spans="1:5" x14ac:dyDescent="0.3">
      <c r="A40" s="20" t="s">
        <v>74</v>
      </c>
      <c r="B40" s="21" t="s">
        <v>75</v>
      </c>
      <c r="C40" s="22">
        <v>40759</v>
      </c>
      <c r="D40" s="21" t="s">
        <v>91</v>
      </c>
      <c r="E40" s="23">
        <v>3193.12</v>
      </c>
    </row>
    <row r="41" spans="1:5" x14ac:dyDescent="0.3">
      <c r="A41" s="20" t="s">
        <v>74</v>
      </c>
      <c r="B41" s="21" t="s">
        <v>75</v>
      </c>
      <c r="C41" s="22">
        <v>40760</v>
      </c>
      <c r="D41" s="21" t="s">
        <v>92</v>
      </c>
      <c r="E41" s="23">
        <v>1154.52</v>
      </c>
    </row>
    <row r="42" spans="1:5" x14ac:dyDescent="0.3">
      <c r="A42" s="20" t="s">
        <v>74</v>
      </c>
      <c r="B42" s="21" t="s">
        <v>75</v>
      </c>
      <c r="C42" s="22">
        <v>40763</v>
      </c>
      <c r="D42" s="21" t="s">
        <v>93</v>
      </c>
      <c r="E42" s="23">
        <v>1601.23</v>
      </c>
    </row>
    <row r="43" spans="1:5" x14ac:dyDescent="0.3">
      <c r="A43" s="20" t="s">
        <v>74</v>
      </c>
      <c r="B43" s="21" t="s">
        <v>75</v>
      </c>
      <c r="C43" s="22">
        <v>40765</v>
      </c>
      <c r="D43" s="21" t="s">
        <v>94</v>
      </c>
      <c r="E43" s="23">
        <v>2410.0100000000002</v>
      </c>
    </row>
    <row r="44" spans="1:5" x14ac:dyDescent="0.3">
      <c r="A44" s="20" t="s">
        <v>74</v>
      </c>
      <c r="B44" s="21" t="s">
        <v>75</v>
      </c>
      <c r="C44" s="22">
        <v>40766</v>
      </c>
      <c r="D44" s="21" t="s">
        <v>95</v>
      </c>
      <c r="E44" s="23">
        <v>1843.22</v>
      </c>
    </row>
    <row r="45" spans="1:5" x14ac:dyDescent="0.3">
      <c r="A45" s="20" t="s">
        <v>74</v>
      </c>
      <c r="B45" s="21" t="s">
        <v>75</v>
      </c>
      <c r="C45" s="22">
        <v>40766</v>
      </c>
      <c r="D45" s="21" t="s">
        <v>96</v>
      </c>
      <c r="E45" s="23">
        <v>1366.9</v>
      </c>
    </row>
    <row r="46" spans="1:5" x14ac:dyDescent="0.3">
      <c r="A46" s="20" t="s">
        <v>74</v>
      </c>
      <c r="B46" s="21" t="s">
        <v>75</v>
      </c>
      <c r="C46" s="22">
        <v>40770</v>
      </c>
      <c r="D46" s="21" t="s">
        <v>97</v>
      </c>
      <c r="E46" s="23">
        <v>3934.51</v>
      </c>
    </row>
    <row r="47" spans="1:5" x14ac:dyDescent="0.3">
      <c r="A47" s="20" t="s">
        <v>74</v>
      </c>
      <c r="B47" s="21" t="s">
        <v>75</v>
      </c>
      <c r="C47" s="22">
        <v>40773</v>
      </c>
      <c r="D47" s="21" t="s">
        <v>98</v>
      </c>
      <c r="E47" s="23">
        <v>1292.53</v>
      </c>
    </row>
    <row r="48" spans="1:5" x14ac:dyDescent="0.3">
      <c r="A48" s="20" t="s">
        <v>74</v>
      </c>
      <c r="B48" s="21" t="s">
        <v>75</v>
      </c>
      <c r="C48" s="22">
        <v>40774</v>
      </c>
      <c r="D48" s="21" t="s">
        <v>99</v>
      </c>
      <c r="E48" s="23">
        <v>1583.53</v>
      </c>
    </row>
    <row r="49" spans="1:5" x14ac:dyDescent="0.3">
      <c r="A49" s="20" t="s">
        <v>74</v>
      </c>
      <c r="B49" s="21" t="s">
        <v>75</v>
      </c>
      <c r="C49" s="22">
        <v>40774</v>
      </c>
      <c r="D49" s="21" t="s">
        <v>100</v>
      </c>
      <c r="E49" s="23">
        <v>2061.37</v>
      </c>
    </row>
    <row r="50" spans="1:5" x14ac:dyDescent="0.3">
      <c r="A50" s="20" t="s">
        <v>74</v>
      </c>
      <c r="B50" s="21" t="s">
        <v>75</v>
      </c>
      <c r="C50" s="22">
        <v>40777</v>
      </c>
      <c r="D50" s="21" t="s">
        <v>101</v>
      </c>
      <c r="E50" s="23">
        <v>2883.76</v>
      </c>
    </row>
    <row r="51" spans="1:5" x14ac:dyDescent="0.3">
      <c r="A51" s="20" t="s">
        <v>74</v>
      </c>
      <c r="B51" s="21" t="s">
        <v>75</v>
      </c>
      <c r="C51" s="22">
        <v>40779</v>
      </c>
      <c r="D51" s="21" t="s">
        <v>102</v>
      </c>
      <c r="E51" s="23">
        <v>4490.87</v>
      </c>
    </row>
    <row r="52" spans="1:5" x14ac:dyDescent="0.3">
      <c r="A52" s="20" t="s">
        <v>74</v>
      </c>
      <c r="B52" s="21" t="s">
        <v>75</v>
      </c>
      <c r="C52" s="22">
        <v>40780</v>
      </c>
      <c r="D52" s="21" t="s">
        <v>103</v>
      </c>
      <c r="E52" s="23">
        <v>2002.65</v>
      </c>
    </row>
    <row r="53" spans="1:5" x14ac:dyDescent="0.3">
      <c r="A53" s="20" t="s">
        <v>74</v>
      </c>
      <c r="B53" s="21" t="s">
        <v>75</v>
      </c>
      <c r="C53" s="22">
        <v>40782</v>
      </c>
      <c r="D53" s="21" t="s">
        <v>104</v>
      </c>
      <c r="E53" s="23">
        <v>4273.75</v>
      </c>
    </row>
    <row r="54" spans="1:5" x14ac:dyDescent="0.3">
      <c r="A54" s="20" t="s">
        <v>74</v>
      </c>
      <c r="B54" s="21" t="s">
        <v>75</v>
      </c>
      <c r="C54" s="22">
        <v>40773</v>
      </c>
      <c r="D54" s="21" t="s">
        <v>105</v>
      </c>
      <c r="E54" s="23">
        <v>2322.3599999999997</v>
      </c>
    </row>
    <row r="55" spans="1:5" x14ac:dyDescent="0.3">
      <c r="A55" s="20" t="s">
        <v>74</v>
      </c>
      <c r="B55" s="21" t="s">
        <v>75</v>
      </c>
      <c r="C55" s="22">
        <v>40778</v>
      </c>
      <c r="D55" s="21" t="s">
        <v>106</v>
      </c>
      <c r="E55" s="23">
        <v>1129.3800000000001</v>
      </c>
    </row>
    <row r="56" spans="1:5" x14ac:dyDescent="0.3">
      <c r="A56" s="20" t="s">
        <v>74</v>
      </c>
      <c r="B56" s="21" t="s">
        <v>75</v>
      </c>
      <c r="C56" s="22">
        <v>40786</v>
      </c>
      <c r="D56" s="21" t="s">
        <v>107</v>
      </c>
      <c r="E56" s="23">
        <v>1615.48</v>
      </c>
    </row>
    <row r="57" spans="1:5" x14ac:dyDescent="0.3">
      <c r="A57" s="20" t="s">
        <v>74</v>
      </c>
      <c r="B57" s="21" t="s">
        <v>75</v>
      </c>
      <c r="C57" s="22">
        <v>40756</v>
      </c>
      <c r="D57" s="21" t="s">
        <v>108</v>
      </c>
      <c r="E57" s="23">
        <v>1635.1599999999999</v>
      </c>
    </row>
    <row r="58" spans="1:5" x14ac:dyDescent="0.3">
      <c r="A58" s="20" t="s">
        <v>74</v>
      </c>
      <c r="B58" s="21" t="s">
        <v>75</v>
      </c>
      <c r="C58" s="22">
        <v>40757</v>
      </c>
      <c r="D58" s="21" t="s">
        <v>109</v>
      </c>
      <c r="E58" s="23">
        <v>4115.8</v>
      </c>
    </row>
    <row r="59" spans="1:5" x14ac:dyDescent="0.3">
      <c r="A59" s="20" t="s">
        <v>74</v>
      </c>
      <c r="B59" s="21" t="s">
        <v>75</v>
      </c>
      <c r="C59" s="22">
        <v>40757</v>
      </c>
      <c r="D59" s="21" t="s">
        <v>110</v>
      </c>
      <c r="E59" s="23">
        <v>1480.12</v>
      </c>
    </row>
    <row r="60" spans="1:5" x14ac:dyDescent="0.3">
      <c r="A60" s="20" t="s">
        <v>74</v>
      </c>
      <c r="B60" s="21" t="s">
        <v>75</v>
      </c>
      <c r="C60" s="22">
        <v>40757</v>
      </c>
      <c r="D60" s="21" t="s">
        <v>111</v>
      </c>
      <c r="E60" s="23">
        <v>1067.58</v>
      </c>
    </row>
    <row r="61" spans="1:5" x14ac:dyDescent="0.3">
      <c r="A61" s="20" t="s">
        <v>74</v>
      </c>
      <c r="B61" s="21" t="s">
        <v>75</v>
      </c>
      <c r="C61" s="22">
        <v>40758</v>
      </c>
      <c r="D61" s="21" t="s">
        <v>112</v>
      </c>
      <c r="E61" s="23">
        <v>1104.05</v>
      </c>
    </row>
    <row r="62" spans="1:5" x14ac:dyDescent="0.3">
      <c r="A62" s="20" t="s">
        <v>113</v>
      </c>
      <c r="B62" s="21" t="s">
        <v>114</v>
      </c>
      <c r="C62" s="22">
        <v>40763</v>
      </c>
      <c r="D62" s="21" t="s">
        <v>115</v>
      </c>
      <c r="E62" s="23">
        <v>1214.44</v>
      </c>
    </row>
    <row r="63" spans="1:5" x14ac:dyDescent="0.3">
      <c r="A63" s="20" t="s">
        <v>113</v>
      </c>
      <c r="B63" s="21" t="s">
        <v>114</v>
      </c>
      <c r="C63" s="22">
        <v>40763</v>
      </c>
      <c r="D63" s="21" t="s">
        <v>116</v>
      </c>
      <c r="E63" s="23">
        <v>1221.48</v>
      </c>
    </row>
    <row r="64" spans="1:5" x14ac:dyDescent="0.3">
      <c r="A64" s="20" t="s">
        <v>113</v>
      </c>
      <c r="B64" s="21" t="s">
        <v>114</v>
      </c>
      <c r="C64" s="22">
        <v>40763</v>
      </c>
      <c r="D64" s="21" t="s">
        <v>117</v>
      </c>
      <c r="E64" s="23">
        <v>3438.5</v>
      </c>
    </row>
    <row r="65" spans="1:5" x14ac:dyDescent="0.3">
      <c r="A65" s="20" t="s">
        <v>113</v>
      </c>
      <c r="B65" s="21" t="s">
        <v>114</v>
      </c>
      <c r="C65" s="22">
        <v>40763</v>
      </c>
      <c r="D65" s="21" t="s">
        <v>118</v>
      </c>
      <c r="E65" s="23">
        <v>2340.35</v>
      </c>
    </row>
    <row r="66" spans="1:5" x14ac:dyDescent="0.3">
      <c r="A66" s="20" t="s">
        <v>113</v>
      </c>
      <c r="B66" s="21" t="s">
        <v>114</v>
      </c>
      <c r="C66" s="22">
        <v>40763</v>
      </c>
      <c r="D66" s="21" t="s">
        <v>119</v>
      </c>
      <c r="E66" s="23">
        <v>4001.1</v>
      </c>
    </row>
    <row r="67" spans="1:5" x14ac:dyDescent="0.3">
      <c r="A67" s="20" t="s">
        <v>113</v>
      </c>
      <c r="B67" s="21" t="s">
        <v>114</v>
      </c>
      <c r="C67" s="22">
        <v>40763</v>
      </c>
      <c r="D67" s="21" t="s">
        <v>120</v>
      </c>
      <c r="E67" s="23">
        <v>1972.5</v>
      </c>
    </row>
    <row r="68" spans="1:5" x14ac:dyDescent="0.3">
      <c r="A68" s="20" t="s">
        <v>113</v>
      </c>
      <c r="B68" s="21" t="s">
        <v>114</v>
      </c>
      <c r="C68" s="22">
        <v>40763</v>
      </c>
      <c r="D68" s="21" t="s">
        <v>121</v>
      </c>
      <c r="E68" s="23">
        <v>4141.75</v>
      </c>
    </row>
    <row r="69" spans="1:5" x14ac:dyDescent="0.3">
      <c r="A69" s="20" t="s">
        <v>113</v>
      </c>
      <c r="B69" s="21" t="s">
        <v>114</v>
      </c>
      <c r="C69" s="22">
        <v>40763</v>
      </c>
      <c r="D69" s="21" t="s">
        <v>122</v>
      </c>
      <c r="E69" s="23">
        <v>4801.7199999999993</v>
      </c>
    </row>
    <row r="70" spans="1:5" x14ac:dyDescent="0.3">
      <c r="A70" s="20" t="s">
        <v>113</v>
      </c>
      <c r="B70" s="21" t="s">
        <v>114</v>
      </c>
      <c r="C70" s="22">
        <v>40765</v>
      </c>
      <c r="D70" s="21" t="s">
        <v>123</v>
      </c>
      <c r="E70" s="23">
        <v>6424.59</v>
      </c>
    </row>
    <row r="71" spans="1:5" x14ac:dyDescent="0.3">
      <c r="A71" s="20" t="s">
        <v>113</v>
      </c>
      <c r="B71" s="21" t="s">
        <v>114</v>
      </c>
      <c r="C71" s="22">
        <v>40765</v>
      </c>
      <c r="D71" s="21" t="s">
        <v>124</v>
      </c>
      <c r="E71" s="23">
        <v>6424.59</v>
      </c>
    </row>
    <row r="72" spans="1:5" x14ac:dyDescent="0.3">
      <c r="A72" s="20" t="s">
        <v>113</v>
      </c>
      <c r="B72" s="21" t="s">
        <v>114</v>
      </c>
      <c r="C72" s="22">
        <v>40766</v>
      </c>
      <c r="D72" s="21" t="s">
        <v>125</v>
      </c>
      <c r="E72" s="23">
        <v>1423.26</v>
      </c>
    </row>
    <row r="73" spans="1:5" x14ac:dyDescent="0.3">
      <c r="A73" s="20" t="s">
        <v>113</v>
      </c>
      <c r="B73" s="21" t="s">
        <v>114</v>
      </c>
      <c r="C73" s="22">
        <v>40766</v>
      </c>
      <c r="D73" s="21" t="s">
        <v>126</v>
      </c>
      <c r="E73" s="23">
        <v>1437.34</v>
      </c>
    </row>
    <row r="74" spans="1:5" x14ac:dyDescent="0.3">
      <c r="A74" s="20" t="s">
        <v>113</v>
      </c>
      <c r="B74" s="21" t="s">
        <v>114</v>
      </c>
      <c r="C74" s="22">
        <v>40766</v>
      </c>
      <c r="D74" s="21" t="s">
        <v>127</v>
      </c>
      <c r="E74" s="23">
        <v>1423.26</v>
      </c>
    </row>
    <row r="75" spans="1:5" x14ac:dyDescent="0.3">
      <c r="A75" s="20" t="s">
        <v>113</v>
      </c>
      <c r="B75" s="21" t="s">
        <v>114</v>
      </c>
      <c r="C75" s="22">
        <v>40766</v>
      </c>
      <c r="D75" s="21" t="s">
        <v>128</v>
      </c>
      <c r="E75" s="23">
        <v>1437.34</v>
      </c>
    </row>
    <row r="76" spans="1:5" x14ac:dyDescent="0.3">
      <c r="A76" s="20" t="s">
        <v>113</v>
      </c>
      <c r="B76" s="21" t="s">
        <v>114</v>
      </c>
      <c r="C76" s="22">
        <v>40766</v>
      </c>
      <c r="D76" s="21" t="s">
        <v>129</v>
      </c>
      <c r="E76" s="23">
        <v>1831.52</v>
      </c>
    </row>
    <row r="77" spans="1:5" x14ac:dyDescent="0.3">
      <c r="A77" s="20" t="s">
        <v>113</v>
      </c>
      <c r="B77" s="21" t="s">
        <v>114</v>
      </c>
      <c r="C77" s="22">
        <v>40766</v>
      </c>
      <c r="D77" s="21" t="s">
        <v>130</v>
      </c>
      <c r="E77" s="23">
        <v>1859.6799999999998</v>
      </c>
    </row>
    <row r="78" spans="1:5" x14ac:dyDescent="0.3">
      <c r="A78" s="20" t="s">
        <v>113</v>
      </c>
      <c r="B78" s="21" t="s">
        <v>114</v>
      </c>
      <c r="C78" s="22">
        <v>40767</v>
      </c>
      <c r="D78" s="21" t="s">
        <v>131</v>
      </c>
      <c r="E78" s="23">
        <v>1718.9</v>
      </c>
    </row>
    <row r="79" spans="1:5" x14ac:dyDescent="0.3">
      <c r="A79" s="20" t="s">
        <v>113</v>
      </c>
      <c r="B79" s="21" t="s">
        <v>114</v>
      </c>
      <c r="C79" s="22">
        <v>40767</v>
      </c>
      <c r="D79" s="21" t="s">
        <v>132</v>
      </c>
      <c r="E79" s="23">
        <v>1695.44</v>
      </c>
    </row>
    <row r="80" spans="1:5" x14ac:dyDescent="0.3">
      <c r="A80" s="20" t="s">
        <v>113</v>
      </c>
      <c r="B80" s="21" t="s">
        <v>114</v>
      </c>
      <c r="C80" s="22">
        <v>40770</v>
      </c>
      <c r="D80" s="21" t="s">
        <v>133</v>
      </c>
      <c r="E80" s="23">
        <v>1578.12</v>
      </c>
    </row>
    <row r="81" spans="1:5" x14ac:dyDescent="0.3">
      <c r="A81" s="20" t="s">
        <v>113</v>
      </c>
      <c r="B81" s="21" t="s">
        <v>114</v>
      </c>
      <c r="C81" s="22">
        <v>40770</v>
      </c>
      <c r="D81" s="21" t="s">
        <v>134</v>
      </c>
      <c r="E81" s="23">
        <v>1559.35</v>
      </c>
    </row>
    <row r="82" spans="1:5" x14ac:dyDescent="0.3">
      <c r="A82" s="20" t="s">
        <v>113</v>
      </c>
      <c r="B82" s="21" t="s">
        <v>114</v>
      </c>
      <c r="C82" s="22">
        <v>40773</v>
      </c>
      <c r="D82" s="21" t="s">
        <v>135</v>
      </c>
      <c r="E82" s="23">
        <v>2282.02</v>
      </c>
    </row>
    <row r="83" spans="1:5" x14ac:dyDescent="0.3">
      <c r="A83" s="20" t="s">
        <v>113</v>
      </c>
      <c r="B83" s="21" t="s">
        <v>114</v>
      </c>
      <c r="C83" s="22">
        <v>40773</v>
      </c>
      <c r="D83" s="21" t="s">
        <v>136</v>
      </c>
      <c r="E83" s="23">
        <v>2141.2399999999998</v>
      </c>
    </row>
    <row r="84" spans="1:5" x14ac:dyDescent="0.3">
      <c r="A84" s="20" t="s">
        <v>113</v>
      </c>
      <c r="B84" s="21" t="s">
        <v>114</v>
      </c>
      <c r="C84" s="22">
        <v>40773</v>
      </c>
      <c r="D84" s="21" t="s">
        <v>137</v>
      </c>
      <c r="E84" s="23">
        <v>1322.84</v>
      </c>
    </row>
    <row r="85" spans="1:5" x14ac:dyDescent="0.3">
      <c r="A85" s="20" t="s">
        <v>113</v>
      </c>
      <c r="B85" s="21" t="s">
        <v>114</v>
      </c>
      <c r="C85" s="22">
        <v>40773</v>
      </c>
      <c r="D85" s="21" t="s">
        <v>138</v>
      </c>
      <c r="E85" s="23">
        <v>1482.31</v>
      </c>
    </row>
    <row r="86" spans="1:5" x14ac:dyDescent="0.3">
      <c r="A86" s="20" t="s">
        <v>113</v>
      </c>
      <c r="B86" s="21" t="s">
        <v>114</v>
      </c>
      <c r="C86" s="22">
        <v>40773</v>
      </c>
      <c r="D86" s="21" t="s">
        <v>139</v>
      </c>
      <c r="E86" s="23">
        <v>2334.16</v>
      </c>
    </row>
    <row r="87" spans="1:5" x14ac:dyDescent="0.3">
      <c r="A87" s="20" t="s">
        <v>113</v>
      </c>
      <c r="B87" s="21" t="s">
        <v>114</v>
      </c>
      <c r="C87" s="22">
        <v>40773</v>
      </c>
      <c r="D87" s="21" t="s">
        <v>140</v>
      </c>
      <c r="E87" s="23">
        <v>1147.1399999999999</v>
      </c>
    </row>
    <row r="88" spans="1:5" x14ac:dyDescent="0.3">
      <c r="A88" s="20" t="s">
        <v>113</v>
      </c>
      <c r="B88" s="21" t="s">
        <v>114</v>
      </c>
      <c r="C88" s="22">
        <v>40776</v>
      </c>
      <c r="D88" s="21" t="s">
        <v>141</v>
      </c>
      <c r="E88" s="23">
        <v>1840.9099999999999</v>
      </c>
    </row>
    <row r="89" spans="1:5" x14ac:dyDescent="0.3">
      <c r="A89" s="20" t="s">
        <v>113</v>
      </c>
      <c r="B89" s="21" t="s">
        <v>114</v>
      </c>
      <c r="C89" s="22">
        <v>40779</v>
      </c>
      <c r="D89" s="21" t="s">
        <v>142</v>
      </c>
      <c r="E89" s="23">
        <v>2271.9499999999998</v>
      </c>
    </row>
    <row r="90" spans="1:5" x14ac:dyDescent="0.3">
      <c r="A90" s="20" t="s">
        <v>113</v>
      </c>
      <c r="B90" s="21" t="s">
        <v>114</v>
      </c>
      <c r="C90" s="22">
        <v>40779</v>
      </c>
      <c r="D90" s="21" t="s">
        <v>143</v>
      </c>
      <c r="E90" s="23">
        <v>3457.43</v>
      </c>
    </row>
    <row r="91" spans="1:5" x14ac:dyDescent="0.3">
      <c r="A91" s="20" t="s">
        <v>113</v>
      </c>
      <c r="B91" s="21" t="s">
        <v>114</v>
      </c>
      <c r="C91" s="22">
        <v>40779</v>
      </c>
      <c r="D91" s="21" t="s">
        <v>144</v>
      </c>
      <c r="E91" s="23">
        <v>2486.35</v>
      </c>
    </row>
    <row r="92" spans="1:5" x14ac:dyDescent="0.3">
      <c r="A92" s="20" t="s">
        <v>113</v>
      </c>
      <c r="B92" s="21" t="s">
        <v>114</v>
      </c>
      <c r="C92" s="22">
        <v>40779</v>
      </c>
      <c r="D92" s="21" t="s">
        <v>145</v>
      </c>
      <c r="E92" s="23">
        <v>1585.94</v>
      </c>
    </row>
    <row r="93" spans="1:5" x14ac:dyDescent="0.3">
      <c r="A93" s="20" t="s">
        <v>113</v>
      </c>
      <c r="B93" s="21" t="s">
        <v>114</v>
      </c>
      <c r="C93" s="22">
        <v>40779</v>
      </c>
      <c r="D93" s="21" t="s">
        <v>146</v>
      </c>
      <c r="E93" s="23">
        <v>1516.85</v>
      </c>
    </row>
    <row r="94" spans="1:5" x14ac:dyDescent="0.3">
      <c r="A94" s="20" t="s">
        <v>113</v>
      </c>
      <c r="B94" s="21" t="s">
        <v>114</v>
      </c>
      <c r="C94" s="22">
        <v>40779</v>
      </c>
      <c r="D94" s="21" t="s">
        <v>147</v>
      </c>
      <c r="E94" s="23">
        <v>2141.2399999999998</v>
      </c>
    </row>
    <row r="95" spans="1:5" x14ac:dyDescent="0.3">
      <c r="A95" s="20" t="s">
        <v>113</v>
      </c>
      <c r="B95" s="21" t="s">
        <v>114</v>
      </c>
      <c r="C95" s="22">
        <v>40780</v>
      </c>
      <c r="D95" s="21" t="s">
        <v>148</v>
      </c>
      <c r="E95" s="23">
        <v>1252.8899999999999</v>
      </c>
    </row>
    <row r="96" spans="1:5" x14ac:dyDescent="0.3">
      <c r="A96" s="20" t="s">
        <v>113</v>
      </c>
      <c r="B96" s="21" t="s">
        <v>114</v>
      </c>
      <c r="C96" s="22">
        <v>40780</v>
      </c>
      <c r="D96" s="21" t="s">
        <v>149</v>
      </c>
      <c r="E96" s="23">
        <v>5597.38</v>
      </c>
    </row>
    <row r="97" spans="1:5" x14ac:dyDescent="0.3">
      <c r="A97" s="20" t="s">
        <v>113</v>
      </c>
      <c r="B97" s="21" t="s">
        <v>114</v>
      </c>
      <c r="C97" s="22">
        <v>40780</v>
      </c>
      <c r="D97" s="21" t="s">
        <v>150</v>
      </c>
      <c r="E97" s="23">
        <v>7221.83</v>
      </c>
    </row>
    <row r="98" spans="1:5" x14ac:dyDescent="0.3">
      <c r="A98" s="20" t="s">
        <v>113</v>
      </c>
      <c r="B98" s="21" t="s">
        <v>114</v>
      </c>
      <c r="C98" s="22">
        <v>40780</v>
      </c>
      <c r="D98" s="21" t="s">
        <v>151</v>
      </c>
      <c r="E98" s="23">
        <v>4773.04</v>
      </c>
    </row>
    <row r="99" spans="1:5" x14ac:dyDescent="0.3">
      <c r="A99" s="20" t="s">
        <v>113</v>
      </c>
      <c r="B99" s="21" t="s">
        <v>114</v>
      </c>
      <c r="C99" s="22">
        <v>40780</v>
      </c>
      <c r="D99" s="21" t="s">
        <v>152</v>
      </c>
      <c r="E99" s="23">
        <v>1871.4099999999999</v>
      </c>
    </row>
    <row r="100" spans="1:5" x14ac:dyDescent="0.3">
      <c r="A100" s="20" t="s">
        <v>113</v>
      </c>
      <c r="B100" s="21" t="s">
        <v>114</v>
      </c>
      <c r="C100" s="22">
        <v>40780</v>
      </c>
      <c r="D100" s="21" t="s">
        <v>153</v>
      </c>
      <c r="E100" s="23">
        <v>1767.78</v>
      </c>
    </row>
    <row r="101" spans="1:5" x14ac:dyDescent="0.3">
      <c r="A101" s="20" t="s">
        <v>113</v>
      </c>
      <c r="B101" s="21" t="s">
        <v>114</v>
      </c>
      <c r="C101" s="22">
        <v>40781</v>
      </c>
      <c r="D101" s="21" t="s">
        <v>154</v>
      </c>
      <c r="E101" s="23">
        <v>6995.01</v>
      </c>
    </row>
    <row r="102" spans="1:5" x14ac:dyDescent="0.3">
      <c r="A102" s="20" t="s">
        <v>113</v>
      </c>
      <c r="B102" s="21" t="s">
        <v>114</v>
      </c>
      <c r="C102" s="22">
        <v>40782</v>
      </c>
      <c r="D102" s="21" t="s">
        <v>155</v>
      </c>
      <c r="E102" s="23">
        <v>1070</v>
      </c>
    </row>
    <row r="103" spans="1:5" x14ac:dyDescent="0.3">
      <c r="A103" s="20" t="s">
        <v>113</v>
      </c>
      <c r="B103" s="21" t="s">
        <v>114</v>
      </c>
      <c r="C103" s="22">
        <v>40784</v>
      </c>
      <c r="D103" s="21" t="s">
        <v>156</v>
      </c>
      <c r="E103" s="23">
        <v>1020.61</v>
      </c>
    </row>
    <row r="104" spans="1:5" x14ac:dyDescent="0.3">
      <c r="A104" s="20" t="s">
        <v>157</v>
      </c>
      <c r="B104" s="21" t="s">
        <v>158</v>
      </c>
      <c r="C104" s="22">
        <v>40757</v>
      </c>
      <c r="D104" s="21" t="s">
        <v>159</v>
      </c>
      <c r="E104" s="23">
        <v>1034.19</v>
      </c>
    </row>
    <row r="105" spans="1:5" x14ac:dyDescent="0.3">
      <c r="A105" s="20" t="s">
        <v>160</v>
      </c>
      <c r="B105" s="21" t="s">
        <v>161</v>
      </c>
      <c r="C105" s="22">
        <v>40770</v>
      </c>
      <c r="D105" s="21" t="s">
        <v>162</v>
      </c>
      <c r="E105" s="23">
        <v>1019.88</v>
      </c>
    </row>
    <row r="106" spans="1:5" x14ac:dyDescent="0.3">
      <c r="A106" s="20" t="s">
        <v>163</v>
      </c>
      <c r="B106" s="21" t="s">
        <v>164</v>
      </c>
      <c r="C106" s="22">
        <v>40756</v>
      </c>
      <c r="D106" s="21" t="s">
        <v>165</v>
      </c>
      <c r="E106" s="23">
        <v>1017.83</v>
      </c>
    </row>
    <row r="107" spans="1:5" x14ac:dyDescent="0.3">
      <c r="A107" s="20" t="s">
        <v>166</v>
      </c>
      <c r="B107" s="21" t="s">
        <v>167</v>
      </c>
      <c r="C107" s="22">
        <v>40757</v>
      </c>
      <c r="D107" s="21" t="s">
        <v>168</v>
      </c>
      <c r="E107" s="23">
        <v>1015.47</v>
      </c>
    </row>
    <row r="108" spans="1:5" x14ac:dyDescent="0.3">
      <c r="A108" s="20" t="s">
        <v>166</v>
      </c>
      <c r="B108" s="21" t="s">
        <v>167</v>
      </c>
      <c r="C108" s="22">
        <v>40765</v>
      </c>
      <c r="D108" s="21" t="s">
        <v>169</v>
      </c>
      <c r="E108" s="23">
        <v>1114.29</v>
      </c>
    </row>
    <row r="109" spans="1:5" x14ac:dyDescent="0.3">
      <c r="A109" s="20" t="s">
        <v>170</v>
      </c>
      <c r="B109" s="21" t="s">
        <v>171</v>
      </c>
      <c r="C109" s="22">
        <v>40780</v>
      </c>
      <c r="D109" s="21" t="s">
        <v>172</v>
      </c>
      <c r="E109" s="23">
        <v>1020.19</v>
      </c>
    </row>
    <row r="110" spans="1:5" x14ac:dyDescent="0.3">
      <c r="A110" s="20" t="s">
        <v>170</v>
      </c>
      <c r="B110" s="21" t="s">
        <v>171</v>
      </c>
      <c r="C110" s="22">
        <v>40771</v>
      </c>
      <c r="D110" s="21" t="s">
        <v>173</v>
      </c>
      <c r="E110" s="23">
        <v>1017.78</v>
      </c>
    </row>
    <row r="111" spans="1:5" x14ac:dyDescent="0.3">
      <c r="A111" s="20" t="s">
        <v>174</v>
      </c>
      <c r="B111" s="21" t="s">
        <v>175</v>
      </c>
      <c r="C111" s="22">
        <v>40760</v>
      </c>
      <c r="D111" s="21" t="s">
        <v>176</v>
      </c>
      <c r="E111" s="23">
        <v>1019.35</v>
      </c>
    </row>
    <row r="112" spans="1:5" x14ac:dyDescent="0.3">
      <c r="A112" s="20" t="s">
        <v>177</v>
      </c>
      <c r="B112" s="21" t="s">
        <v>178</v>
      </c>
      <c r="C112" s="22">
        <v>40760</v>
      </c>
      <c r="D112" s="21" t="s">
        <v>179</v>
      </c>
      <c r="E112" s="23">
        <v>1058.5999999999999</v>
      </c>
    </row>
    <row r="113" spans="1:5" x14ac:dyDescent="0.3">
      <c r="A113" s="20" t="s">
        <v>180</v>
      </c>
      <c r="B113" s="21" t="s">
        <v>181</v>
      </c>
      <c r="C113" s="22">
        <v>40777</v>
      </c>
      <c r="D113" s="21" t="s">
        <v>182</v>
      </c>
      <c r="E113" s="23">
        <v>1017.64</v>
      </c>
    </row>
    <row r="114" spans="1:5" x14ac:dyDescent="0.3">
      <c r="A114" s="20" t="s">
        <v>183</v>
      </c>
      <c r="B114" s="21" t="s">
        <v>184</v>
      </c>
      <c r="C114" s="22">
        <v>40780</v>
      </c>
      <c r="D114" s="21" t="s">
        <v>185</v>
      </c>
      <c r="E114" s="23">
        <v>1023.19</v>
      </c>
    </row>
    <row r="115" spans="1:5" x14ac:dyDescent="0.3">
      <c r="A115" s="20" t="s">
        <v>186</v>
      </c>
      <c r="B115" s="21" t="s">
        <v>187</v>
      </c>
      <c r="C115" s="22">
        <v>40760</v>
      </c>
      <c r="D115" s="21" t="s">
        <v>188</v>
      </c>
      <c r="E115" s="23">
        <v>1018.22</v>
      </c>
    </row>
    <row r="116" spans="1:5" x14ac:dyDescent="0.3">
      <c r="A116" s="20" t="s">
        <v>186</v>
      </c>
      <c r="B116" s="21" t="s">
        <v>187</v>
      </c>
      <c r="C116" s="22">
        <v>40760</v>
      </c>
      <c r="D116" s="21" t="s">
        <v>189</v>
      </c>
      <c r="E116" s="23">
        <v>1023.75</v>
      </c>
    </row>
    <row r="117" spans="1:5" x14ac:dyDescent="0.3">
      <c r="A117" s="20" t="s">
        <v>186</v>
      </c>
      <c r="B117" s="21" t="s">
        <v>187</v>
      </c>
      <c r="C117" s="22">
        <v>40761</v>
      </c>
      <c r="D117" s="21" t="s">
        <v>190</v>
      </c>
      <c r="E117" s="23">
        <v>1022.34</v>
      </c>
    </row>
    <row r="118" spans="1:5" x14ac:dyDescent="0.3">
      <c r="A118" s="20" t="s">
        <v>191</v>
      </c>
      <c r="B118" s="21" t="s">
        <v>192</v>
      </c>
      <c r="C118" s="22">
        <v>40786</v>
      </c>
      <c r="D118" s="21" t="s">
        <v>193</v>
      </c>
      <c r="E118" s="23">
        <v>1020.89</v>
      </c>
    </row>
    <row r="119" spans="1:5" x14ac:dyDescent="0.3">
      <c r="A119" s="20" t="s">
        <v>191</v>
      </c>
      <c r="B119" s="21" t="s">
        <v>192</v>
      </c>
      <c r="C119" s="22">
        <v>40777</v>
      </c>
      <c r="D119" s="21" t="s">
        <v>194</v>
      </c>
      <c r="E119" s="23">
        <v>1022.92</v>
      </c>
    </row>
    <row r="120" spans="1:5" x14ac:dyDescent="0.3">
      <c r="A120" s="20" t="s">
        <v>195</v>
      </c>
      <c r="B120" s="21" t="s">
        <v>196</v>
      </c>
      <c r="C120" s="22">
        <v>40771</v>
      </c>
      <c r="D120" s="21" t="s">
        <v>197</v>
      </c>
      <c r="E120" s="23">
        <v>1027.3599999999999</v>
      </c>
    </row>
    <row r="121" spans="1:5" x14ac:dyDescent="0.3">
      <c r="A121" s="20" t="s">
        <v>195</v>
      </c>
      <c r="B121" s="21" t="s">
        <v>196</v>
      </c>
      <c r="C121" s="22">
        <v>40774</v>
      </c>
      <c r="D121" s="21" t="s">
        <v>198</v>
      </c>
      <c r="E121" s="23">
        <v>1021.03</v>
      </c>
    </row>
    <row r="122" spans="1:5" x14ac:dyDescent="0.3">
      <c r="A122" s="20" t="s">
        <v>195</v>
      </c>
      <c r="B122" s="21" t="s">
        <v>196</v>
      </c>
      <c r="C122" s="22">
        <v>40756</v>
      </c>
      <c r="D122" s="21" t="s">
        <v>199</v>
      </c>
      <c r="E122" s="23">
        <v>1018.86</v>
      </c>
    </row>
    <row r="123" spans="1:5" x14ac:dyDescent="0.3">
      <c r="A123" s="20" t="s">
        <v>195</v>
      </c>
      <c r="B123" s="21" t="s">
        <v>196</v>
      </c>
      <c r="C123" s="22">
        <v>40771</v>
      </c>
      <c r="D123" s="21" t="s">
        <v>200</v>
      </c>
      <c r="E123" s="23">
        <v>1018.74</v>
      </c>
    </row>
    <row r="124" spans="1:5" x14ac:dyDescent="0.3">
      <c r="A124" s="20" t="s">
        <v>195</v>
      </c>
      <c r="B124" s="21" t="s">
        <v>196</v>
      </c>
      <c r="C124" s="22">
        <v>40773</v>
      </c>
      <c r="D124" s="21" t="s">
        <v>201</v>
      </c>
      <c r="E124" s="23">
        <v>1015.88</v>
      </c>
    </row>
    <row r="125" spans="1:5" x14ac:dyDescent="0.3">
      <c r="A125" s="20" t="s">
        <v>195</v>
      </c>
      <c r="B125" s="21" t="s">
        <v>196</v>
      </c>
      <c r="C125" s="22">
        <v>40780</v>
      </c>
      <c r="D125" s="21" t="s">
        <v>202</v>
      </c>
      <c r="E125" s="23">
        <v>1017.98</v>
      </c>
    </row>
    <row r="126" spans="1:5" x14ac:dyDescent="0.3">
      <c r="A126" s="20" t="s">
        <v>203</v>
      </c>
      <c r="B126" s="21" t="s">
        <v>204</v>
      </c>
      <c r="C126" s="22">
        <v>40763</v>
      </c>
      <c r="D126" s="21" t="s">
        <v>205</v>
      </c>
      <c r="E126" s="23">
        <v>1015.25</v>
      </c>
    </row>
    <row r="127" spans="1:5" x14ac:dyDescent="0.3">
      <c r="A127" s="20" t="s">
        <v>206</v>
      </c>
      <c r="B127" s="21" t="s">
        <v>207</v>
      </c>
      <c r="C127" s="22">
        <v>40765</v>
      </c>
      <c r="D127" s="21" t="s">
        <v>208</v>
      </c>
      <c r="E127" s="23">
        <v>1051.29</v>
      </c>
    </row>
    <row r="128" spans="1:5" x14ac:dyDescent="0.3">
      <c r="A128" s="20" t="s">
        <v>203</v>
      </c>
      <c r="B128" s="21" t="s">
        <v>204</v>
      </c>
      <c r="C128" s="22">
        <v>40777</v>
      </c>
      <c r="D128" s="21" t="s">
        <v>209</v>
      </c>
      <c r="E128" s="23">
        <v>1022.76</v>
      </c>
    </row>
    <row r="129" spans="1:5" x14ac:dyDescent="0.3">
      <c r="A129" s="20" t="s">
        <v>210</v>
      </c>
      <c r="B129" s="21" t="s">
        <v>211</v>
      </c>
      <c r="C129" s="22">
        <v>40756</v>
      </c>
      <c r="D129" s="21" t="s">
        <v>212</v>
      </c>
      <c r="E129" s="23">
        <v>1015.29</v>
      </c>
    </row>
    <row r="130" spans="1:5" x14ac:dyDescent="0.3">
      <c r="A130" s="20" t="s">
        <v>210</v>
      </c>
      <c r="B130" s="21" t="s">
        <v>211</v>
      </c>
      <c r="C130" s="22">
        <v>40756</v>
      </c>
      <c r="D130" s="21" t="s">
        <v>213</v>
      </c>
      <c r="E130" s="23">
        <v>1015.33</v>
      </c>
    </row>
    <row r="131" spans="1:5" x14ac:dyDescent="0.3">
      <c r="A131" s="20" t="s">
        <v>210</v>
      </c>
      <c r="B131" s="21" t="s">
        <v>211</v>
      </c>
      <c r="C131" s="22">
        <v>40756</v>
      </c>
      <c r="D131" s="21" t="s">
        <v>214</v>
      </c>
      <c r="E131" s="23">
        <v>1016.02</v>
      </c>
    </row>
    <row r="132" spans="1:5" x14ac:dyDescent="0.3">
      <c r="A132" s="20" t="s">
        <v>215</v>
      </c>
      <c r="B132" s="21" t="s">
        <v>216</v>
      </c>
      <c r="C132" s="22">
        <v>40764</v>
      </c>
      <c r="D132" s="21" t="s">
        <v>217</v>
      </c>
      <c r="E132" s="23">
        <v>1015.41</v>
      </c>
    </row>
    <row r="133" spans="1:5" x14ac:dyDescent="0.3">
      <c r="A133" s="20" t="s">
        <v>215</v>
      </c>
      <c r="B133" s="21" t="s">
        <v>216</v>
      </c>
      <c r="C133" s="22">
        <v>40764</v>
      </c>
      <c r="D133" s="21" t="s">
        <v>218</v>
      </c>
      <c r="E133" s="23">
        <v>1022.52</v>
      </c>
    </row>
    <row r="134" spans="1:5" x14ac:dyDescent="0.3">
      <c r="A134" s="20" t="s">
        <v>215</v>
      </c>
      <c r="B134" s="21" t="s">
        <v>216</v>
      </c>
      <c r="C134" s="22">
        <v>40764</v>
      </c>
      <c r="D134" s="21" t="s">
        <v>219</v>
      </c>
      <c r="E134" s="23">
        <v>1020.16</v>
      </c>
    </row>
    <row r="135" spans="1:5" x14ac:dyDescent="0.3">
      <c r="A135" s="20" t="s">
        <v>215</v>
      </c>
      <c r="B135" s="21" t="s">
        <v>216</v>
      </c>
      <c r="C135" s="22">
        <v>40770</v>
      </c>
      <c r="D135" s="21" t="s">
        <v>220</v>
      </c>
      <c r="E135" s="23">
        <v>1017.65</v>
      </c>
    </row>
    <row r="136" spans="1:5" x14ac:dyDescent="0.3">
      <c r="A136" s="20" t="s">
        <v>215</v>
      </c>
      <c r="B136" s="21" t="s">
        <v>216</v>
      </c>
      <c r="C136" s="22">
        <v>40770</v>
      </c>
      <c r="D136" s="21" t="s">
        <v>221</v>
      </c>
      <c r="E136" s="23">
        <v>1019.64</v>
      </c>
    </row>
    <row r="137" spans="1:5" x14ac:dyDescent="0.3">
      <c r="A137" s="20" t="s">
        <v>215</v>
      </c>
      <c r="B137" s="21" t="s">
        <v>216</v>
      </c>
      <c r="C137" s="22">
        <v>40770</v>
      </c>
      <c r="D137" s="21" t="s">
        <v>222</v>
      </c>
      <c r="E137" s="23">
        <v>1024.8499999999999</v>
      </c>
    </row>
    <row r="138" spans="1:5" x14ac:dyDescent="0.3">
      <c r="A138" s="20" t="s">
        <v>215</v>
      </c>
      <c r="B138" s="21" t="s">
        <v>216</v>
      </c>
      <c r="C138" s="22">
        <v>40770</v>
      </c>
      <c r="D138" s="21" t="s">
        <v>223</v>
      </c>
      <c r="E138" s="23">
        <v>1017.68</v>
      </c>
    </row>
    <row r="139" spans="1:5" x14ac:dyDescent="0.3">
      <c r="A139" s="20" t="s">
        <v>215</v>
      </c>
      <c r="B139" s="21" t="s">
        <v>216</v>
      </c>
      <c r="C139" s="22">
        <v>40772</v>
      </c>
      <c r="D139" s="21" t="s">
        <v>224</v>
      </c>
      <c r="E139" s="23">
        <v>1016.22</v>
      </c>
    </row>
    <row r="140" spans="1:5" x14ac:dyDescent="0.3">
      <c r="A140" s="20" t="s">
        <v>225</v>
      </c>
      <c r="B140" s="21" t="s">
        <v>226</v>
      </c>
      <c r="C140" s="22">
        <v>40761</v>
      </c>
      <c r="D140" s="21" t="s">
        <v>227</v>
      </c>
      <c r="E140" s="23">
        <v>1025.3699999999999</v>
      </c>
    </row>
    <row r="141" spans="1:5" x14ac:dyDescent="0.3">
      <c r="A141" s="20" t="s">
        <v>225</v>
      </c>
      <c r="B141" s="21" t="s">
        <v>226</v>
      </c>
      <c r="C141" s="22">
        <v>40761</v>
      </c>
      <c r="D141" s="21" t="s">
        <v>228</v>
      </c>
      <c r="E141" s="23">
        <v>1025.8</v>
      </c>
    </row>
    <row r="142" spans="1:5" x14ac:dyDescent="0.3">
      <c r="A142" s="20" t="s">
        <v>229</v>
      </c>
      <c r="B142" s="21" t="s">
        <v>230</v>
      </c>
      <c r="C142" s="22">
        <v>40767</v>
      </c>
      <c r="D142" s="21" t="s">
        <v>231</v>
      </c>
      <c r="E142" s="23">
        <v>1022.24</v>
      </c>
    </row>
    <row r="143" spans="1:5" x14ac:dyDescent="0.3">
      <c r="A143" s="20" t="s">
        <v>225</v>
      </c>
      <c r="B143" s="21" t="s">
        <v>226</v>
      </c>
      <c r="C143" s="22">
        <v>40779</v>
      </c>
      <c r="D143" s="21" t="s">
        <v>232</v>
      </c>
      <c r="E143" s="23">
        <v>1021.71</v>
      </c>
    </row>
    <row r="144" spans="1:5" x14ac:dyDescent="0.3">
      <c r="A144" s="20" t="s">
        <v>225</v>
      </c>
      <c r="B144" s="21" t="s">
        <v>226</v>
      </c>
      <c r="C144" s="22">
        <v>40756</v>
      </c>
      <c r="D144" s="21" t="s">
        <v>233</v>
      </c>
      <c r="E144" s="23">
        <v>1015.08</v>
      </c>
    </row>
    <row r="145" spans="1:5" x14ac:dyDescent="0.3">
      <c r="A145" s="20" t="s">
        <v>225</v>
      </c>
      <c r="B145" s="21" t="s">
        <v>226</v>
      </c>
      <c r="C145" s="22">
        <v>40756</v>
      </c>
      <c r="D145" s="21" t="s">
        <v>234</v>
      </c>
      <c r="E145" s="23">
        <v>1015.42</v>
      </c>
    </row>
    <row r="146" spans="1:5" x14ac:dyDescent="0.3">
      <c r="A146" s="20" t="s">
        <v>225</v>
      </c>
      <c r="B146" s="21" t="s">
        <v>226</v>
      </c>
      <c r="C146" s="22">
        <v>40756</v>
      </c>
      <c r="D146" s="21" t="s">
        <v>235</v>
      </c>
      <c r="E146" s="23">
        <v>1015.46</v>
      </c>
    </row>
    <row r="147" spans="1:5" x14ac:dyDescent="0.3">
      <c r="A147" s="20" t="s">
        <v>225</v>
      </c>
      <c r="B147" s="21" t="s">
        <v>226</v>
      </c>
      <c r="C147" s="22">
        <v>40756</v>
      </c>
      <c r="D147" s="21" t="s">
        <v>236</v>
      </c>
      <c r="E147" s="23">
        <v>1015.15</v>
      </c>
    </row>
    <row r="148" spans="1:5" x14ac:dyDescent="0.3">
      <c r="A148" s="20" t="s">
        <v>225</v>
      </c>
      <c r="B148" s="21" t="s">
        <v>226</v>
      </c>
      <c r="C148" s="22">
        <v>40756</v>
      </c>
      <c r="D148" s="21" t="s">
        <v>237</v>
      </c>
      <c r="E148" s="23">
        <v>1015.69</v>
      </c>
    </row>
    <row r="149" spans="1:5" x14ac:dyDescent="0.3">
      <c r="A149" s="20" t="s">
        <v>225</v>
      </c>
      <c r="B149" s="21" t="s">
        <v>226</v>
      </c>
      <c r="C149" s="22">
        <v>40756</v>
      </c>
      <c r="D149" s="21" t="s">
        <v>238</v>
      </c>
      <c r="E149" s="23">
        <v>1015.37</v>
      </c>
    </row>
    <row r="150" spans="1:5" x14ac:dyDescent="0.3">
      <c r="A150" s="20" t="s">
        <v>239</v>
      </c>
      <c r="B150" s="21" t="s">
        <v>240</v>
      </c>
      <c r="C150" s="22">
        <v>40854</v>
      </c>
      <c r="D150" s="21" t="s">
        <v>241</v>
      </c>
      <c r="E150" s="23">
        <v>1019.64</v>
      </c>
    </row>
    <row r="151" spans="1:5" x14ac:dyDescent="0.3">
      <c r="A151" s="20" t="s">
        <v>225</v>
      </c>
      <c r="B151" s="21" t="s">
        <v>226</v>
      </c>
      <c r="C151" s="22">
        <v>40854</v>
      </c>
      <c r="D151" s="21" t="s">
        <v>242</v>
      </c>
      <c r="E151" s="23">
        <v>1015.51</v>
      </c>
    </row>
    <row r="152" spans="1:5" x14ac:dyDescent="0.3">
      <c r="A152" s="20" t="s">
        <v>229</v>
      </c>
      <c r="B152" s="21" t="s">
        <v>230</v>
      </c>
      <c r="C152" s="22">
        <v>40854</v>
      </c>
      <c r="D152" s="21" t="s">
        <v>243</v>
      </c>
      <c r="E152" s="23">
        <v>1016.97</v>
      </c>
    </row>
    <row r="153" spans="1:5" x14ac:dyDescent="0.3">
      <c r="A153" s="20" t="s">
        <v>239</v>
      </c>
      <c r="B153" s="21" t="s">
        <v>240</v>
      </c>
      <c r="C153" s="22">
        <v>40854</v>
      </c>
      <c r="D153" s="21" t="s">
        <v>244</v>
      </c>
      <c r="E153" s="23">
        <v>1018.22</v>
      </c>
    </row>
    <row r="154" spans="1:5" x14ac:dyDescent="0.3">
      <c r="A154" s="20" t="s">
        <v>225</v>
      </c>
      <c r="B154" s="21" t="s">
        <v>226</v>
      </c>
      <c r="C154" s="22">
        <v>40854</v>
      </c>
      <c r="D154" s="21" t="s">
        <v>245</v>
      </c>
      <c r="E154" s="23">
        <v>1016.86</v>
      </c>
    </row>
    <row r="155" spans="1:5" x14ac:dyDescent="0.3">
      <c r="A155" s="20" t="s">
        <v>225</v>
      </c>
      <c r="B155" s="21" t="s">
        <v>226</v>
      </c>
      <c r="C155" s="22">
        <v>40854</v>
      </c>
      <c r="D155" s="21" t="s">
        <v>246</v>
      </c>
      <c r="E155" s="23">
        <v>1015.79</v>
      </c>
    </row>
    <row r="156" spans="1:5" x14ac:dyDescent="0.3">
      <c r="A156" s="20" t="s">
        <v>225</v>
      </c>
      <c r="B156" s="21" t="s">
        <v>226</v>
      </c>
      <c r="C156" s="22">
        <v>40854</v>
      </c>
      <c r="D156" s="21" t="s">
        <v>247</v>
      </c>
      <c r="E156" s="23">
        <v>1015.22</v>
      </c>
    </row>
    <row r="157" spans="1:5" x14ac:dyDescent="0.3">
      <c r="A157" s="20" t="s">
        <v>239</v>
      </c>
      <c r="B157" s="21" t="s">
        <v>240</v>
      </c>
      <c r="C157" s="22">
        <v>40854</v>
      </c>
      <c r="D157" s="21" t="s">
        <v>248</v>
      </c>
      <c r="E157" s="23">
        <v>1019.39</v>
      </c>
    </row>
    <row r="158" spans="1:5" x14ac:dyDescent="0.3">
      <c r="A158" s="20" t="s">
        <v>239</v>
      </c>
      <c r="B158" s="21" t="s">
        <v>240</v>
      </c>
      <c r="C158" s="22">
        <v>40854</v>
      </c>
      <c r="D158" s="21" t="s">
        <v>249</v>
      </c>
      <c r="E158" s="23">
        <v>1021.39</v>
      </c>
    </row>
    <row r="159" spans="1:5" x14ac:dyDescent="0.3">
      <c r="A159" s="20" t="s">
        <v>239</v>
      </c>
      <c r="B159" s="21" t="s">
        <v>240</v>
      </c>
      <c r="C159" s="22">
        <v>40854</v>
      </c>
      <c r="D159" s="21" t="s">
        <v>250</v>
      </c>
      <c r="E159" s="23">
        <v>1024.92</v>
      </c>
    </row>
    <row r="160" spans="1:5" x14ac:dyDescent="0.3">
      <c r="A160" s="20" t="s">
        <v>239</v>
      </c>
      <c r="B160" s="21" t="s">
        <v>240</v>
      </c>
      <c r="C160" s="22">
        <v>40854</v>
      </c>
      <c r="D160" s="21" t="s">
        <v>251</v>
      </c>
      <c r="E160" s="23">
        <v>1015.27</v>
      </c>
    </row>
    <row r="161" spans="1:5" x14ac:dyDescent="0.3">
      <c r="A161" s="20" t="s">
        <v>239</v>
      </c>
      <c r="B161" s="21" t="s">
        <v>240</v>
      </c>
      <c r="C161" s="22">
        <v>40854</v>
      </c>
      <c r="D161" s="21" t="s">
        <v>252</v>
      </c>
      <c r="E161" s="23">
        <v>1016.06</v>
      </c>
    </row>
    <row r="162" spans="1:5" x14ac:dyDescent="0.3">
      <c r="A162" s="20" t="s">
        <v>225</v>
      </c>
      <c r="B162" s="21" t="s">
        <v>226</v>
      </c>
      <c r="C162" s="22">
        <v>40868</v>
      </c>
      <c r="D162" s="21" t="s">
        <v>253</v>
      </c>
      <c r="E162" s="23">
        <v>1015.12</v>
      </c>
    </row>
    <row r="163" spans="1:5" x14ac:dyDescent="0.3">
      <c r="A163" s="20" t="s">
        <v>239</v>
      </c>
      <c r="B163" s="21" t="s">
        <v>240</v>
      </c>
      <c r="C163" s="22">
        <v>40868</v>
      </c>
      <c r="D163" s="21" t="s">
        <v>254</v>
      </c>
      <c r="E163" s="23">
        <v>1017.54</v>
      </c>
    </row>
    <row r="164" spans="1:5" x14ac:dyDescent="0.3">
      <c r="A164" s="20" t="s">
        <v>239</v>
      </c>
      <c r="B164" s="21" t="s">
        <v>240</v>
      </c>
      <c r="C164" s="22">
        <v>40868</v>
      </c>
      <c r="D164" s="21" t="s">
        <v>255</v>
      </c>
      <c r="E164" s="23">
        <v>1018.45</v>
      </c>
    </row>
    <row r="165" spans="1:5" x14ac:dyDescent="0.3">
      <c r="A165" s="20" t="s">
        <v>239</v>
      </c>
      <c r="B165" s="21" t="s">
        <v>240</v>
      </c>
      <c r="C165" s="22">
        <v>40868</v>
      </c>
      <c r="D165" s="21" t="s">
        <v>256</v>
      </c>
      <c r="E165" s="23">
        <v>1030.71</v>
      </c>
    </row>
    <row r="166" spans="1:5" x14ac:dyDescent="0.3">
      <c r="A166" s="20" t="s">
        <v>239</v>
      </c>
      <c r="B166" s="21" t="s">
        <v>240</v>
      </c>
      <c r="C166" s="22">
        <v>40868</v>
      </c>
      <c r="D166" s="21" t="s">
        <v>257</v>
      </c>
      <c r="E166" s="23">
        <v>1016.64</v>
      </c>
    </row>
    <row r="167" spans="1:5" x14ac:dyDescent="0.3">
      <c r="A167" s="20" t="s">
        <v>239</v>
      </c>
      <c r="B167" s="21" t="s">
        <v>240</v>
      </c>
      <c r="C167" s="22">
        <v>40868</v>
      </c>
      <c r="D167" s="21" t="s">
        <v>258</v>
      </c>
      <c r="E167" s="23">
        <v>1015.87</v>
      </c>
    </row>
    <row r="168" spans="1:5" x14ac:dyDescent="0.3">
      <c r="A168" s="20" t="s">
        <v>239</v>
      </c>
      <c r="B168" s="21" t="s">
        <v>240</v>
      </c>
      <c r="C168" s="22">
        <v>40875</v>
      </c>
      <c r="D168" s="21" t="s">
        <v>259</v>
      </c>
      <c r="E168" s="23">
        <v>1016.64</v>
      </c>
    </row>
    <row r="169" spans="1:5" x14ac:dyDescent="0.3">
      <c r="A169" s="20" t="s">
        <v>239</v>
      </c>
      <c r="B169" s="21" t="s">
        <v>240</v>
      </c>
      <c r="C169" s="22">
        <v>40875</v>
      </c>
      <c r="D169" s="21" t="s">
        <v>260</v>
      </c>
      <c r="E169" s="23">
        <v>1019.13</v>
      </c>
    </row>
    <row r="170" spans="1:5" x14ac:dyDescent="0.3">
      <c r="A170" s="20" t="s">
        <v>239</v>
      </c>
      <c r="B170" s="21" t="s">
        <v>240</v>
      </c>
      <c r="C170" s="22">
        <v>40875</v>
      </c>
      <c r="D170" s="21" t="s">
        <v>261</v>
      </c>
      <c r="E170" s="23">
        <v>1022.9</v>
      </c>
    </row>
    <row r="171" spans="1:5" x14ac:dyDescent="0.3">
      <c r="A171" s="20" t="s">
        <v>239</v>
      </c>
      <c r="B171" s="21" t="s">
        <v>240</v>
      </c>
      <c r="C171" s="22">
        <v>40875</v>
      </c>
      <c r="D171" s="21" t="s">
        <v>262</v>
      </c>
      <c r="E171" s="23">
        <v>1019.14</v>
      </c>
    </row>
    <row r="172" spans="1:5" x14ac:dyDescent="0.3">
      <c r="A172" s="20" t="s">
        <v>239</v>
      </c>
      <c r="B172" s="21" t="s">
        <v>240</v>
      </c>
      <c r="C172" s="22">
        <v>40875</v>
      </c>
      <c r="D172" s="21" t="s">
        <v>263</v>
      </c>
      <c r="E172" s="23">
        <v>1017.58</v>
      </c>
    </row>
    <row r="173" spans="1:5" x14ac:dyDescent="0.3">
      <c r="A173" s="20" t="s">
        <v>264</v>
      </c>
      <c r="B173" s="21" t="s">
        <v>265</v>
      </c>
      <c r="C173" s="22">
        <v>40852</v>
      </c>
      <c r="D173" s="21" t="s">
        <v>266</v>
      </c>
      <c r="E173" s="23">
        <v>1033.05</v>
      </c>
    </row>
    <row r="174" spans="1:5" x14ac:dyDescent="0.3">
      <c r="A174" s="20" t="s">
        <v>264</v>
      </c>
      <c r="B174" s="21" t="s">
        <v>265</v>
      </c>
      <c r="C174" s="22">
        <v>40852</v>
      </c>
      <c r="D174" s="21" t="s">
        <v>267</v>
      </c>
      <c r="E174" s="23">
        <v>1015.93</v>
      </c>
    </row>
    <row r="175" spans="1:5" x14ac:dyDescent="0.3">
      <c r="A175" s="20" t="s">
        <v>268</v>
      </c>
      <c r="B175" s="21" t="s">
        <v>269</v>
      </c>
      <c r="C175" s="22">
        <v>40851</v>
      </c>
      <c r="D175" s="21" t="s">
        <v>270</v>
      </c>
      <c r="E175" s="23">
        <v>1019.76</v>
      </c>
    </row>
    <row r="176" spans="1:5" x14ac:dyDescent="0.3">
      <c r="A176" s="20" t="s">
        <v>268</v>
      </c>
      <c r="B176" s="21" t="s">
        <v>269</v>
      </c>
      <c r="C176" s="22">
        <v>40851</v>
      </c>
      <c r="D176" s="21" t="s">
        <v>271</v>
      </c>
      <c r="E176" s="23">
        <v>1024.72</v>
      </c>
    </row>
    <row r="177" spans="1:5" x14ac:dyDescent="0.3">
      <c r="A177" s="20" t="s">
        <v>268</v>
      </c>
      <c r="B177" s="21" t="s">
        <v>269</v>
      </c>
      <c r="C177" s="22">
        <v>40851</v>
      </c>
      <c r="D177" s="21" t="s">
        <v>272</v>
      </c>
      <c r="E177" s="23">
        <v>1022.72</v>
      </c>
    </row>
    <row r="178" spans="1:5" x14ac:dyDescent="0.3">
      <c r="A178" s="20" t="s">
        <v>268</v>
      </c>
      <c r="B178" s="21" t="s">
        <v>269</v>
      </c>
      <c r="C178" s="22">
        <v>40874</v>
      </c>
      <c r="D178" s="21" t="s">
        <v>273</v>
      </c>
      <c r="E178" s="23">
        <v>1020.91</v>
      </c>
    </row>
    <row r="179" spans="1:5" x14ac:dyDescent="0.3">
      <c r="A179" s="20" t="s">
        <v>274</v>
      </c>
      <c r="B179" s="21" t="s">
        <v>275</v>
      </c>
      <c r="C179" s="22">
        <v>40857</v>
      </c>
      <c r="D179" s="21" t="s">
        <v>276</v>
      </c>
      <c r="E179" s="23">
        <v>1443.8</v>
      </c>
    </row>
    <row r="180" spans="1:5" x14ac:dyDescent="0.3">
      <c r="A180" s="20" t="s">
        <v>277</v>
      </c>
      <c r="B180" s="21" t="s">
        <v>278</v>
      </c>
      <c r="C180" s="22">
        <v>40858</v>
      </c>
      <c r="D180" s="21" t="s">
        <v>279</v>
      </c>
      <c r="E180" s="23">
        <v>1482.52</v>
      </c>
    </row>
    <row r="181" spans="1:5" x14ac:dyDescent="0.3">
      <c r="A181" s="20" t="s">
        <v>280</v>
      </c>
      <c r="B181" s="21" t="s">
        <v>281</v>
      </c>
      <c r="C181" s="22">
        <v>40848</v>
      </c>
      <c r="D181" s="21" t="s">
        <v>282</v>
      </c>
      <c r="E181" s="23">
        <v>1017.53</v>
      </c>
    </row>
    <row r="182" spans="1:5" x14ac:dyDescent="0.3">
      <c r="A182" s="20" t="s">
        <v>277</v>
      </c>
      <c r="B182" s="21" t="s">
        <v>278</v>
      </c>
      <c r="C182" s="22">
        <v>40865</v>
      </c>
      <c r="D182" s="21" t="s">
        <v>283</v>
      </c>
      <c r="E182" s="23">
        <v>1502.95</v>
      </c>
    </row>
    <row r="183" spans="1:5" x14ac:dyDescent="0.3">
      <c r="A183" s="20" t="s">
        <v>284</v>
      </c>
      <c r="B183" s="21" t="s">
        <v>285</v>
      </c>
      <c r="C183" s="22">
        <v>40858</v>
      </c>
      <c r="D183" s="21" t="s">
        <v>286</v>
      </c>
      <c r="E183" s="23">
        <v>1016.02</v>
      </c>
    </row>
    <row r="184" spans="1:5" x14ac:dyDescent="0.3">
      <c r="A184" s="20" t="s">
        <v>284</v>
      </c>
      <c r="B184" s="21" t="s">
        <v>285</v>
      </c>
      <c r="C184" s="22">
        <v>40863</v>
      </c>
      <c r="D184" s="21" t="s">
        <v>287</v>
      </c>
      <c r="E184" s="23">
        <v>1015.46</v>
      </c>
    </row>
    <row r="185" spans="1:5" x14ac:dyDescent="0.3">
      <c r="A185" s="20" t="s">
        <v>284</v>
      </c>
      <c r="B185" s="21" t="s">
        <v>285</v>
      </c>
      <c r="C185" s="22">
        <v>40863</v>
      </c>
      <c r="D185" s="21" t="s">
        <v>288</v>
      </c>
      <c r="E185" s="23">
        <v>1022.19</v>
      </c>
    </row>
    <row r="186" spans="1:5" x14ac:dyDescent="0.3">
      <c r="A186" s="20" t="s">
        <v>284</v>
      </c>
      <c r="B186" s="21" t="s">
        <v>285</v>
      </c>
      <c r="C186" s="22">
        <v>40866</v>
      </c>
      <c r="D186" s="21" t="s">
        <v>289</v>
      </c>
      <c r="E186" s="23">
        <v>1026.1400000000001</v>
      </c>
    </row>
    <row r="187" spans="1:5" x14ac:dyDescent="0.3">
      <c r="A187" s="20" t="s">
        <v>290</v>
      </c>
      <c r="B187" s="21" t="s">
        <v>291</v>
      </c>
      <c r="C187" s="22">
        <v>40852</v>
      </c>
      <c r="D187" s="21" t="s">
        <v>292</v>
      </c>
      <c r="E187" s="23">
        <v>1022.72</v>
      </c>
    </row>
    <row r="188" spans="1:5" x14ac:dyDescent="0.3">
      <c r="A188" s="20" t="s">
        <v>290</v>
      </c>
      <c r="B188" s="21" t="s">
        <v>291</v>
      </c>
      <c r="C188" s="22">
        <v>40852</v>
      </c>
      <c r="D188" s="21" t="s">
        <v>293</v>
      </c>
      <c r="E188" s="23">
        <v>1021.24</v>
      </c>
    </row>
    <row r="189" spans="1:5" x14ac:dyDescent="0.3">
      <c r="A189" s="20" t="s">
        <v>290</v>
      </c>
      <c r="B189" s="21" t="s">
        <v>291</v>
      </c>
      <c r="C189" s="22">
        <v>40872</v>
      </c>
      <c r="D189" s="21" t="s">
        <v>294</v>
      </c>
      <c r="E189" s="23">
        <v>1015.21</v>
      </c>
    </row>
    <row r="190" spans="1:5" x14ac:dyDescent="0.3">
      <c r="A190" s="20" t="s">
        <v>290</v>
      </c>
      <c r="B190" s="21" t="s">
        <v>291</v>
      </c>
      <c r="C190" s="22">
        <v>40872</v>
      </c>
      <c r="D190" s="21" t="s">
        <v>295</v>
      </c>
      <c r="E190" s="23">
        <v>1023.46</v>
      </c>
    </row>
    <row r="191" spans="1:5" x14ac:dyDescent="0.3">
      <c r="A191" s="20" t="s">
        <v>296</v>
      </c>
      <c r="B191" s="21" t="s">
        <v>297</v>
      </c>
      <c r="C191" s="22">
        <v>40866</v>
      </c>
      <c r="D191" s="21" t="s">
        <v>298</v>
      </c>
      <c r="E191" s="23">
        <v>1057.55</v>
      </c>
    </row>
    <row r="192" spans="1:5" x14ac:dyDescent="0.3">
      <c r="A192" s="20" t="s">
        <v>299</v>
      </c>
      <c r="B192" s="21" t="s">
        <v>300</v>
      </c>
      <c r="C192" s="22">
        <v>40875</v>
      </c>
      <c r="D192" s="21" t="s">
        <v>301</v>
      </c>
      <c r="E192" s="23">
        <v>1017.59</v>
      </c>
    </row>
    <row r="193" spans="1:5" x14ac:dyDescent="0.3">
      <c r="A193" s="20" t="s">
        <v>299</v>
      </c>
      <c r="B193" s="21" t="s">
        <v>300</v>
      </c>
      <c r="C193" s="22">
        <v>40854</v>
      </c>
      <c r="D193" s="21" t="s">
        <v>302</v>
      </c>
      <c r="E193" s="23">
        <v>1015.55</v>
      </c>
    </row>
    <row r="194" spans="1:5" x14ac:dyDescent="0.3">
      <c r="A194" s="20" t="s">
        <v>299</v>
      </c>
      <c r="B194" s="21" t="s">
        <v>300</v>
      </c>
      <c r="C194" s="22">
        <v>40860</v>
      </c>
      <c r="D194" s="21" t="s">
        <v>303</v>
      </c>
      <c r="E194" s="23">
        <v>1018.59</v>
      </c>
    </row>
    <row r="195" spans="1:5" x14ac:dyDescent="0.3">
      <c r="A195" s="20" t="s">
        <v>304</v>
      </c>
      <c r="B195" s="21" t="s">
        <v>305</v>
      </c>
      <c r="C195" s="22">
        <v>40860</v>
      </c>
      <c r="D195" s="21" t="s">
        <v>306</v>
      </c>
      <c r="E195" s="23">
        <v>1029</v>
      </c>
    </row>
    <row r="196" spans="1:5" x14ac:dyDescent="0.3">
      <c r="A196" s="20" t="s">
        <v>299</v>
      </c>
      <c r="B196" s="21" t="s">
        <v>300</v>
      </c>
      <c r="C196" s="22">
        <v>40860</v>
      </c>
      <c r="D196" s="21" t="s">
        <v>307</v>
      </c>
      <c r="E196" s="23">
        <v>1020.53</v>
      </c>
    </row>
    <row r="197" spans="1:5" x14ac:dyDescent="0.3">
      <c r="A197" s="20" t="s">
        <v>304</v>
      </c>
      <c r="B197" s="21" t="s">
        <v>305</v>
      </c>
      <c r="C197" s="22">
        <v>40865</v>
      </c>
      <c r="D197" s="21" t="s">
        <v>308</v>
      </c>
      <c r="E197" s="23">
        <v>1016.97</v>
      </c>
    </row>
    <row r="198" spans="1:5" x14ac:dyDescent="0.3">
      <c r="A198" s="20" t="s">
        <v>299</v>
      </c>
      <c r="B198" s="21" t="s">
        <v>300</v>
      </c>
      <c r="C198" s="22">
        <v>40865</v>
      </c>
      <c r="D198" s="21" t="s">
        <v>309</v>
      </c>
      <c r="E198" s="23">
        <v>1018.7</v>
      </c>
    </row>
    <row r="199" spans="1:5" x14ac:dyDescent="0.3">
      <c r="A199" s="20" t="s">
        <v>310</v>
      </c>
      <c r="B199" s="21" t="s">
        <v>311</v>
      </c>
      <c r="C199" s="22">
        <v>40854</v>
      </c>
      <c r="D199" s="21" t="s">
        <v>312</v>
      </c>
      <c r="E199" s="23">
        <v>1016.01</v>
      </c>
    </row>
    <row r="200" spans="1:5" x14ac:dyDescent="0.3">
      <c r="A200" s="20" t="s">
        <v>310</v>
      </c>
      <c r="B200" s="21" t="s">
        <v>311</v>
      </c>
      <c r="C200" s="22">
        <v>40854</v>
      </c>
      <c r="D200" s="21" t="s">
        <v>313</v>
      </c>
      <c r="E200" s="23">
        <v>1021.21</v>
      </c>
    </row>
    <row r="201" spans="1:5" x14ac:dyDescent="0.3">
      <c r="A201" s="20" t="s">
        <v>314</v>
      </c>
      <c r="B201" s="21" t="s">
        <v>315</v>
      </c>
      <c r="C201" s="22">
        <v>40858</v>
      </c>
      <c r="D201" s="21" t="s">
        <v>316</v>
      </c>
      <c r="E201" s="23">
        <v>1016.36</v>
      </c>
    </row>
    <row r="202" spans="1:5" x14ac:dyDescent="0.3">
      <c r="A202" s="20" t="s">
        <v>317</v>
      </c>
      <c r="B202" s="21" t="s">
        <v>318</v>
      </c>
      <c r="C202" s="22">
        <v>40858</v>
      </c>
      <c r="D202" s="21" t="s">
        <v>319</v>
      </c>
      <c r="E202" s="23">
        <v>1016.7</v>
      </c>
    </row>
    <row r="203" spans="1:5" x14ac:dyDescent="0.3">
      <c r="A203" s="20" t="s">
        <v>320</v>
      </c>
      <c r="B203" s="21" t="s">
        <v>321</v>
      </c>
      <c r="C203" s="22">
        <v>40872</v>
      </c>
      <c r="D203" s="21" t="s">
        <v>322</v>
      </c>
      <c r="E203" s="23">
        <v>1089.07</v>
      </c>
    </row>
    <row r="204" spans="1:5" x14ac:dyDescent="0.3">
      <c r="A204" s="20" t="s">
        <v>320</v>
      </c>
      <c r="B204" s="21" t="s">
        <v>321</v>
      </c>
      <c r="C204" s="22">
        <v>40872</v>
      </c>
      <c r="D204" s="21" t="s">
        <v>323</v>
      </c>
      <c r="E204" s="23">
        <v>1082.26</v>
      </c>
    </row>
    <row r="205" spans="1:5" x14ac:dyDescent="0.3">
      <c r="A205" s="20" t="s">
        <v>324</v>
      </c>
      <c r="B205" s="21" t="s">
        <v>325</v>
      </c>
      <c r="C205" s="22">
        <v>40865</v>
      </c>
      <c r="D205" s="21" t="s">
        <v>326</v>
      </c>
      <c r="E205" s="23">
        <v>1015.71</v>
      </c>
    </row>
    <row r="206" spans="1:5" x14ac:dyDescent="0.3">
      <c r="A206" s="20" t="s">
        <v>327</v>
      </c>
      <c r="B206" s="21" t="s">
        <v>328</v>
      </c>
      <c r="C206" s="22">
        <v>40865</v>
      </c>
      <c r="D206" s="21" t="s">
        <v>329</v>
      </c>
      <c r="E206" s="23">
        <v>1015.94</v>
      </c>
    </row>
    <row r="207" spans="1:5" x14ac:dyDescent="0.3">
      <c r="A207" s="20" t="s">
        <v>330</v>
      </c>
      <c r="B207" s="21" t="s">
        <v>331</v>
      </c>
      <c r="C207" s="22">
        <v>40850</v>
      </c>
      <c r="D207" s="21" t="s">
        <v>332</v>
      </c>
      <c r="E207" s="23">
        <v>1043.3900000000001</v>
      </c>
    </row>
    <row r="208" spans="1:5" x14ac:dyDescent="0.3">
      <c r="A208" s="20" t="s">
        <v>333</v>
      </c>
      <c r="B208" s="21" t="s">
        <v>334</v>
      </c>
      <c r="C208" s="22">
        <v>40865</v>
      </c>
      <c r="D208" s="21" t="s">
        <v>335</v>
      </c>
      <c r="E208" s="23">
        <v>1015.78</v>
      </c>
    </row>
    <row r="209" spans="1:5" x14ac:dyDescent="0.3">
      <c r="A209" s="20" t="s">
        <v>336</v>
      </c>
      <c r="B209" s="21" t="s">
        <v>337</v>
      </c>
      <c r="C209" s="22">
        <v>40856</v>
      </c>
      <c r="D209" s="21" t="s">
        <v>338</v>
      </c>
      <c r="E209" s="23">
        <v>1018.84</v>
      </c>
    </row>
    <row r="210" spans="1:5" x14ac:dyDescent="0.3">
      <c r="A210" s="20" t="s">
        <v>339</v>
      </c>
      <c r="B210" s="21" t="s">
        <v>340</v>
      </c>
      <c r="C210" s="22">
        <v>40874</v>
      </c>
      <c r="D210" s="21" t="s">
        <v>341</v>
      </c>
      <c r="E210" s="23">
        <v>1015.64</v>
      </c>
    </row>
    <row r="211" spans="1:5" x14ac:dyDescent="0.3">
      <c r="A211" s="20" t="s">
        <v>342</v>
      </c>
      <c r="B211" s="21" t="s">
        <v>343</v>
      </c>
      <c r="C211" s="22">
        <v>40859</v>
      </c>
      <c r="D211" s="21" t="s">
        <v>344</v>
      </c>
      <c r="E211" s="23">
        <v>1049.42</v>
      </c>
    </row>
    <row r="212" spans="1:5" x14ac:dyDescent="0.3">
      <c r="A212" s="20" t="s">
        <v>342</v>
      </c>
      <c r="B212" s="21" t="s">
        <v>343</v>
      </c>
      <c r="C212" s="22">
        <v>40859</v>
      </c>
      <c r="D212" s="21" t="s">
        <v>345</v>
      </c>
      <c r="E212" s="23">
        <v>2351.5500000000002</v>
      </c>
    </row>
    <row r="213" spans="1:5" x14ac:dyDescent="0.3">
      <c r="A213" s="20" t="s">
        <v>342</v>
      </c>
      <c r="B213" s="21" t="s">
        <v>343</v>
      </c>
      <c r="C213" s="22">
        <v>40859</v>
      </c>
      <c r="D213" s="21" t="s">
        <v>346</v>
      </c>
      <c r="E213" s="23">
        <v>1027.96</v>
      </c>
    </row>
    <row r="214" spans="1:5" x14ac:dyDescent="0.3">
      <c r="A214" s="20" t="s">
        <v>342</v>
      </c>
      <c r="B214" s="21" t="s">
        <v>343</v>
      </c>
      <c r="C214" s="22">
        <v>40857</v>
      </c>
      <c r="D214" s="21" t="s">
        <v>347</v>
      </c>
      <c r="E214" s="23">
        <v>1345.79</v>
      </c>
    </row>
    <row r="215" spans="1:5" x14ac:dyDescent="0.3">
      <c r="A215" s="20" t="s">
        <v>342</v>
      </c>
      <c r="B215" s="21" t="s">
        <v>343</v>
      </c>
      <c r="C215" s="22">
        <v>40857</v>
      </c>
      <c r="D215" s="21" t="s">
        <v>348</v>
      </c>
      <c r="E215" s="23">
        <v>1314.74</v>
      </c>
    </row>
    <row r="216" spans="1:5" x14ac:dyDescent="0.3">
      <c r="A216" s="20" t="s">
        <v>342</v>
      </c>
      <c r="B216" s="21" t="s">
        <v>343</v>
      </c>
      <c r="C216" s="22">
        <v>40867</v>
      </c>
      <c r="D216" s="21" t="s">
        <v>349</v>
      </c>
      <c r="E216" s="23">
        <v>1296.06</v>
      </c>
    </row>
    <row r="217" spans="1:5" x14ac:dyDescent="0.3">
      <c r="A217" s="20" t="s">
        <v>350</v>
      </c>
      <c r="B217" s="21" t="s">
        <v>351</v>
      </c>
      <c r="C217" s="22">
        <v>40856</v>
      </c>
      <c r="D217" s="21" t="s">
        <v>352</v>
      </c>
      <c r="E217" s="23">
        <v>1018.44</v>
      </c>
    </row>
    <row r="218" spans="1:5" x14ac:dyDescent="0.3">
      <c r="A218" s="20" t="s">
        <v>350</v>
      </c>
      <c r="B218" s="21" t="s">
        <v>351</v>
      </c>
      <c r="C218" s="22">
        <v>40872</v>
      </c>
      <c r="D218" s="21" t="s">
        <v>353</v>
      </c>
      <c r="E218" s="23">
        <v>1016.44</v>
      </c>
    </row>
    <row r="219" spans="1:5" x14ac:dyDescent="0.3">
      <c r="A219" s="20" t="s">
        <v>350</v>
      </c>
      <c r="B219" s="21" t="s">
        <v>351</v>
      </c>
      <c r="C219" s="22">
        <v>40851</v>
      </c>
      <c r="D219" s="21" t="s">
        <v>354</v>
      </c>
      <c r="E219" s="23">
        <v>1026.29</v>
      </c>
    </row>
    <row r="220" spans="1:5" x14ac:dyDescent="0.3">
      <c r="A220" s="20" t="s">
        <v>350</v>
      </c>
      <c r="B220" s="21" t="s">
        <v>351</v>
      </c>
      <c r="C220" s="22">
        <v>40858</v>
      </c>
      <c r="D220" s="21" t="s">
        <v>355</v>
      </c>
      <c r="E220" s="23">
        <v>1016.79</v>
      </c>
    </row>
    <row r="221" spans="1:5" x14ac:dyDescent="0.3">
      <c r="A221" s="20" t="s">
        <v>356</v>
      </c>
      <c r="B221" s="21" t="s">
        <v>357</v>
      </c>
      <c r="C221" s="22">
        <v>40858</v>
      </c>
      <c r="D221" s="21" t="s">
        <v>358</v>
      </c>
      <c r="E221" s="23">
        <v>1017.11</v>
      </c>
    </row>
    <row r="222" spans="1:5" x14ac:dyDescent="0.3">
      <c r="A222" s="20" t="s">
        <v>356</v>
      </c>
      <c r="B222" s="21" t="s">
        <v>357</v>
      </c>
      <c r="C222" s="22">
        <v>40866</v>
      </c>
      <c r="D222" s="21" t="s">
        <v>359</v>
      </c>
      <c r="E222" s="23">
        <v>1022.31</v>
      </c>
    </row>
    <row r="223" spans="1:5" x14ac:dyDescent="0.3">
      <c r="A223" s="20" t="s">
        <v>350</v>
      </c>
      <c r="B223" s="21" t="s">
        <v>351</v>
      </c>
      <c r="C223" s="22">
        <v>40866</v>
      </c>
      <c r="D223" s="21" t="s">
        <v>360</v>
      </c>
      <c r="E223" s="23">
        <v>1015.24</v>
      </c>
    </row>
    <row r="224" spans="1:5" x14ac:dyDescent="0.3">
      <c r="A224" s="20" t="s">
        <v>361</v>
      </c>
      <c r="B224" s="21" t="s">
        <v>362</v>
      </c>
      <c r="C224" s="22">
        <v>40852</v>
      </c>
      <c r="D224" s="21" t="s">
        <v>363</v>
      </c>
      <c r="E224" s="23">
        <v>1015.36</v>
      </c>
    </row>
    <row r="225" spans="1:5" x14ac:dyDescent="0.3">
      <c r="A225" s="20" t="s">
        <v>364</v>
      </c>
      <c r="B225" s="21" t="s">
        <v>365</v>
      </c>
      <c r="C225" s="22">
        <v>40853</v>
      </c>
      <c r="D225" s="21" t="s">
        <v>366</v>
      </c>
      <c r="E225" s="23">
        <v>1015.54</v>
      </c>
    </row>
    <row r="226" spans="1:5" x14ac:dyDescent="0.3">
      <c r="A226" s="20" t="s">
        <v>364</v>
      </c>
      <c r="B226" s="21" t="s">
        <v>365</v>
      </c>
      <c r="C226" s="22">
        <v>40869</v>
      </c>
      <c r="D226" s="21" t="s">
        <v>367</v>
      </c>
      <c r="E226" s="23">
        <v>1019.06</v>
      </c>
    </row>
    <row r="227" spans="1:5" x14ac:dyDescent="0.3">
      <c r="A227" s="20" t="s">
        <v>368</v>
      </c>
      <c r="B227" s="21" t="s">
        <v>369</v>
      </c>
      <c r="C227" s="22">
        <v>40872</v>
      </c>
      <c r="D227" s="21" t="s">
        <v>370</v>
      </c>
      <c r="E227" s="23">
        <v>1015.85</v>
      </c>
    </row>
    <row r="228" spans="1:5" x14ac:dyDescent="0.3">
      <c r="A228" s="20" t="s">
        <v>371</v>
      </c>
      <c r="B228" s="21" t="s">
        <v>372</v>
      </c>
      <c r="C228" s="22">
        <v>40848</v>
      </c>
      <c r="D228" s="21" t="s">
        <v>373</v>
      </c>
      <c r="E228" s="23">
        <v>1015.12</v>
      </c>
    </row>
    <row r="229" spans="1:5" x14ac:dyDescent="0.3">
      <c r="A229" s="20" t="s">
        <v>374</v>
      </c>
      <c r="B229" s="21" t="s">
        <v>375</v>
      </c>
      <c r="C229" s="22">
        <v>40858</v>
      </c>
      <c r="D229" s="21" t="s">
        <v>376</v>
      </c>
      <c r="E229" s="23">
        <v>2032.22</v>
      </c>
    </row>
    <row r="230" spans="1:5" x14ac:dyDescent="0.3">
      <c r="A230" s="20" t="s">
        <v>374</v>
      </c>
      <c r="B230" s="21" t="s">
        <v>375</v>
      </c>
      <c r="C230" s="22">
        <v>40858</v>
      </c>
      <c r="D230" s="21" t="s">
        <v>377</v>
      </c>
      <c r="E230" s="23">
        <v>1777.9099999999999</v>
      </c>
    </row>
    <row r="231" spans="1:5" x14ac:dyDescent="0.3">
      <c r="A231" s="20" t="s">
        <v>374</v>
      </c>
      <c r="B231" s="21" t="s">
        <v>375</v>
      </c>
      <c r="C231" s="22">
        <v>40858</v>
      </c>
      <c r="D231" s="21" t="s">
        <v>378</v>
      </c>
      <c r="E231" s="23">
        <v>1777.9099999999999</v>
      </c>
    </row>
    <row r="232" spans="1:5" x14ac:dyDescent="0.3">
      <c r="A232" s="20" t="s">
        <v>374</v>
      </c>
      <c r="B232" s="21" t="s">
        <v>375</v>
      </c>
      <c r="C232" s="22">
        <v>40869</v>
      </c>
      <c r="D232" s="21" t="s">
        <v>379</v>
      </c>
      <c r="E232" s="23">
        <v>2620.23</v>
      </c>
    </row>
    <row r="233" spans="1:5" x14ac:dyDescent="0.3">
      <c r="A233" s="20" t="s">
        <v>380</v>
      </c>
      <c r="B233" s="21" t="s">
        <v>381</v>
      </c>
      <c r="C233" s="22">
        <v>40848</v>
      </c>
      <c r="D233" s="21" t="s">
        <v>382</v>
      </c>
      <c r="E233" s="23">
        <v>1024.02</v>
      </c>
    </row>
    <row r="234" spans="1:5" x14ac:dyDescent="0.3">
      <c r="A234" s="20" t="s">
        <v>380</v>
      </c>
      <c r="B234" s="21" t="s">
        <v>381</v>
      </c>
      <c r="C234" s="22">
        <v>40849</v>
      </c>
      <c r="D234" s="21" t="s">
        <v>383</v>
      </c>
      <c r="E234" s="23">
        <v>1026.96</v>
      </c>
    </row>
    <row r="235" spans="1:5" x14ac:dyDescent="0.3">
      <c r="A235" s="20" t="s">
        <v>384</v>
      </c>
      <c r="B235" s="21" t="s">
        <v>385</v>
      </c>
      <c r="C235" s="22">
        <v>40850</v>
      </c>
      <c r="D235" s="21" t="s">
        <v>386</v>
      </c>
      <c r="E235" s="23">
        <v>1041.06</v>
      </c>
    </row>
    <row r="236" spans="1:5" x14ac:dyDescent="0.3">
      <c r="A236" s="20" t="s">
        <v>387</v>
      </c>
      <c r="B236" s="21" t="s">
        <v>388</v>
      </c>
      <c r="C236" s="22">
        <v>40858</v>
      </c>
      <c r="D236" s="21" t="s">
        <v>389</v>
      </c>
      <c r="E236" s="23">
        <v>1017.04</v>
      </c>
    </row>
    <row r="237" spans="1:5" x14ac:dyDescent="0.3">
      <c r="A237" s="20" t="s">
        <v>387</v>
      </c>
      <c r="B237" s="21" t="s">
        <v>388</v>
      </c>
      <c r="C237" s="22">
        <v>40858</v>
      </c>
      <c r="D237" s="21" t="s">
        <v>390</v>
      </c>
      <c r="E237" s="23">
        <v>1017.8</v>
      </c>
    </row>
    <row r="238" spans="1:5" x14ac:dyDescent="0.3">
      <c r="A238" s="20" t="s">
        <v>387</v>
      </c>
      <c r="B238" s="21" t="s">
        <v>388</v>
      </c>
      <c r="C238" s="22">
        <v>40858</v>
      </c>
      <c r="D238" s="21" t="s">
        <v>391</v>
      </c>
      <c r="E238" s="23">
        <v>1033.44</v>
      </c>
    </row>
    <row r="239" spans="1:5" x14ac:dyDescent="0.3">
      <c r="A239" s="20" t="s">
        <v>387</v>
      </c>
      <c r="B239" s="21" t="s">
        <v>388</v>
      </c>
      <c r="C239" s="22">
        <v>40858</v>
      </c>
      <c r="D239" s="21" t="s">
        <v>392</v>
      </c>
      <c r="E239" s="23">
        <v>1151.93</v>
      </c>
    </row>
    <row r="240" spans="1:5" x14ac:dyDescent="0.3">
      <c r="A240" s="20" t="s">
        <v>387</v>
      </c>
      <c r="B240" s="21" t="s">
        <v>388</v>
      </c>
      <c r="C240" s="22">
        <v>40858</v>
      </c>
      <c r="D240" s="21" t="s">
        <v>393</v>
      </c>
      <c r="E240" s="23">
        <v>1093.53</v>
      </c>
    </row>
    <row r="241" spans="1:5" x14ac:dyDescent="0.3">
      <c r="A241" s="20" t="s">
        <v>387</v>
      </c>
      <c r="B241" s="21" t="s">
        <v>388</v>
      </c>
      <c r="C241" s="22">
        <v>40852</v>
      </c>
      <c r="D241" s="21" t="s">
        <v>394</v>
      </c>
      <c r="E241" s="23">
        <v>1047.3599999999999</v>
      </c>
    </row>
    <row r="242" spans="1:5" x14ac:dyDescent="0.3">
      <c r="A242" s="20" t="s">
        <v>387</v>
      </c>
      <c r="B242" s="21" t="s">
        <v>388</v>
      </c>
      <c r="C242" s="22">
        <v>40856</v>
      </c>
      <c r="D242" s="21" t="s">
        <v>395</v>
      </c>
      <c r="E242" s="23">
        <v>1015.2</v>
      </c>
    </row>
    <row r="243" spans="1:5" x14ac:dyDescent="0.3">
      <c r="A243" s="20" t="s">
        <v>387</v>
      </c>
      <c r="B243" s="21" t="s">
        <v>388</v>
      </c>
      <c r="C243" s="22">
        <v>40862</v>
      </c>
      <c r="D243" s="21" t="s">
        <v>396</v>
      </c>
      <c r="E243" s="23">
        <v>1016.29</v>
      </c>
    </row>
    <row r="244" spans="1:5" x14ac:dyDescent="0.3">
      <c r="A244" s="20" t="s">
        <v>397</v>
      </c>
      <c r="B244" s="21" t="s">
        <v>398</v>
      </c>
      <c r="C244" s="22">
        <v>40848</v>
      </c>
      <c r="D244" s="21" t="s">
        <v>399</v>
      </c>
      <c r="E244" s="23">
        <v>1017.4</v>
      </c>
    </row>
    <row r="245" spans="1:5" x14ac:dyDescent="0.3">
      <c r="A245" s="20" t="s">
        <v>397</v>
      </c>
      <c r="B245" s="21" t="s">
        <v>398</v>
      </c>
      <c r="C245" s="22">
        <v>40859</v>
      </c>
      <c r="D245" s="21" t="s">
        <v>400</v>
      </c>
      <c r="E245" s="23">
        <v>1016.34</v>
      </c>
    </row>
    <row r="246" spans="1:5" x14ac:dyDescent="0.3">
      <c r="A246" s="20" t="s">
        <v>401</v>
      </c>
      <c r="B246" s="21" t="s">
        <v>402</v>
      </c>
      <c r="C246" s="22">
        <v>40863</v>
      </c>
      <c r="D246" s="21" t="s">
        <v>403</v>
      </c>
      <c r="E246" s="23">
        <v>1038.48</v>
      </c>
    </row>
    <row r="247" spans="1:5" x14ac:dyDescent="0.3">
      <c r="A247" s="20" t="s">
        <v>401</v>
      </c>
      <c r="B247" s="21" t="s">
        <v>402</v>
      </c>
      <c r="C247" s="22">
        <v>40863</v>
      </c>
      <c r="D247" s="21" t="s">
        <v>404</v>
      </c>
      <c r="E247" s="23">
        <v>1015.68</v>
      </c>
    </row>
    <row r="248" spans="1:5" x14ac:dyDescent="0.3">
      <c r="A248" s="20" t="s">
        <v>405</v>
      </c>
      <c r="B248" s="21" t="s">
        <v>406</v>
      </c>
      <c r="C248" s="22">
        <v>40870</v>
      </c>
      <c r="D248" s="21" t="s">
        <v>407</v>
      </c>
      <c r="E248" s="23">
        <v>1024.1500000000001</v>
      </c>
    </row>
    <row r="249" spans="1:5" x14ac:dyDescent="0.3">
      <c r="A249" s="20" t="s">
        <v>408</v>
      </c>
      <c r="B249" s="21" t="s">
        <v>409</v>
      </c>
      <c r="C249" s="22">
        <v>40851</v>
      </c>
      <c r="D249" s="21" t="s">
        <v>410</v>
      </c>
      <c r="E249" s="23">
        <v>1433.68</v>
      </c>
    </row>
    <row r="250" spans="1:5" x14ac:dyDescent="0.3">
      <c r="A250" s="20" t="s">
        <v>408</v>
      </c>
      <c r="B250" s="21" t="s">
        <v>409</v>
      </c>
      <c r="C250" s="22">
        <v>40851</v>
      </c>
      <c r="D250" s="21" t="s">
        <v>411</v>
      </c>
      <c r="E250" s="23">
        <v>1224.2</v>
      </c>
    </row>
    <row r="251" spans="1:5" x14ac:dyDescent="0.3">
      <c r="A251" s="20" t="s">
        <v>412</v>
      </c>
      <c r="B251" s="21" t="s">
        <v>413</v>
      </c>
      <c r="C251" s="22">
        <v>40853</v>
      </c>
      <c r="D251" s="21" t="s">
        <v>414</v>
      </c>
      <c r="E251" s="23">
        <v>1021.12</v>
      </c>
    </row>
    <row r="252" spans="1:5" x14ac:dyDescent="0.3">
      <c r="A252" s="20" t="s">
        <v>415</v>
      </c>
      <c r="B252" s="21" t="s">
        <v>416</v>
      </c>
      <c r="C252" s="22">
        <v>40848</v>
      </c>
      <c r="D252" s="21" t="s">
        <v>417</v>
      </c>
      <c r="E252" s="23">
        <v>1016.85</v>
      </c>
    </row>
    <row r="253" spans="1:5" x14ac:dyDescent="0.3">
      <c r="A253" s="20" t="s">
        <v>415</v>
      </c>
      <c r="B253" s="21" t="s">
        <v>416</v>
      </c>
      <c r="C253" s="22">
        <v>40848</v>
      </c>
      <c r="D253" s="21" t="s">
        <v>418</v>
      </c>
      <c r="E253" s="23">
        <v>1033.1500000000001</v>
      </c>
    </row>
    <row r="254" spans="1:5" x14ac:dyDescent="0.3">
      <c r="A254" s="20" t="s">
        <v>419</v>
      </c>
      <c r="B254" s="21" t="s">
        <v>420</v>
      </c>
      <c r="C254" s="22">
        <v>40852</v>
      </c>
      <c r="D254" s="21" t="s">
        <v>421</v>
      </c>
      <c r="E254" s="23">
        <v>1031.83</v>
      </c>
    </row>
    <row r="255" spans="1:5" x14ac:dyDescent="0.3">
      <c r="A255" s="20" t="s">
        <v>422</v>
      </c>
      <c r="B255" s="21" t="s">
        <v>423</v>
      </c>
      <c r="C255" s="22">
        <v>40854</v>
      </c>
      <c r="D255" s="21" t="s">
        <v>424</v>
      </c>
      <c r="E255" s="23">
        <v>1018.18</v>
      </c>
    </row>
    <row r="256" spans="1:5" x14ac:dyDescent="0.3">
      <c r="A256" s="20" t="s">
        <v>422</v>
      </c>
      <c r="B256" s="21" t="s">
        <v>423</v>
      </c>
      <c r="C256" s="22">
        <v>40854</v>
      </c>
      <c r="D256" s="21" t="s">
        <v>425</v>
      </c>
      <c r="E256" s="23">
        <v>1016.88</v>
      </c>
    </row>
    <row r="257" spans="1:5" x14ac:dyDescent="0.3">
      <c r="A257" s="20" t="s">
        <v>422</v>
      </c>
      <c r="B257" s="21" t="s">
        <v>423</v>
      </c>
      <c r="C257" s="22">
        <v>40854</v>
      </c>
      <c r="D257" s="21" t="s">
        <v>426</v>
      </c>
      <c r="E257" s="23">
        <v>1018.25</v>
      </c>
    </row>
    <row r="258" spans="1:5" x14ac:dyDescent="0.3">
      <c r="A258" s="20" t="s">
        <v>422</v>
      </c>
      <c r="B258" s="21" t="s">
        <v>423</v>
      </c>
      <c r="C258" s="22">
        <v>40868</v>
      </c>
      <c r="D258" s="21" t="s">
        <v>427</v>
      </c>
      <c r="E258" s="23">
        <v>1020.13</v>
      </c>
    </row>
    <row r="259" spans="1:5" x14ac:dyDescent="0.3">
      <c r="A259" s="20" t="s">
        <v>422</v>
      </c>
      <c r="B259" s="21" t="s">
        <v>423</v>
      </c>
      <c r="C259" s="22">
        <v>40868</v>
      </c>
      <c r="D259" s="21" t="s">
        <v>428</v>
      </c>
      <c r="E259" s="23">
        <v>1017.03</v>
      </c>
    </row>
    <row r="260" spans="1:5" x14ac:dyDescent="0.3">
      <c r="A260" s="20" t="s">
        <v>422</v>
      </c>
      <c r="B260" s="21" t="s">
        <v>423</v>
      </c>
      <c r="C260" s="22">
        <v>40868</v>
      </c>
      <c r="D260" s="21" t="s">
        <v>429</v>
      </c>
      <c r="E260" s="23">
        <v>1017.25</v>
      </c>
    </row>
    <row r="261" spans="1:5" x14ac:dyDescent="0.3">
      <c r="A261" s="20" t="s">
        <v>422</v>
      </c>
      <c r="B261" s="21" t="s">
        <v>423</v>
      </c>
      <c r="C261" s="22">
        <v>40868</v>
      </c>
      <c r="D261" s="21" t="s">
        <v>430</v>
      </c>
      <c r="E261" s="23">
        <v>1015.89</v>
      </c>
    </row>
    <row r="262" spans="1:5" x14ac:dyDescent="0.3">
      <c r="A262" s="20" t="s">
        <v>431</v>
      </c>
      <c r="B262" s="21" t="s">
        <v>432</v>
      </c>
      <c r="C262" s="22">
        <v>40848</v>
      </c>
      <c r="D262" s="21" t="s">
        <v>433</v>
      </c>
      <c r="E262" s="23">
        <v>1038.27</v>
      </c>
    </row>
    <row r="263" spans="1:5" x14ac:dyDescent="0.3">
      <c r="A263" s="20" t="s">
        <v>434</v>
      </c>
      <c r="B263" s="21" t="s">
        <v>435</v>
      </c>
      <c r="C263" s="22">
        <v>40849</v>
      </c>
      <c r="D263" s="21" t="s">
        <v>436</v>
      </c>
      <c r="E263" s="23">
        <v>1301.95</v>
      </c>
    </row>
    <row r="264" spans="1:5" x14ac:dyDescent="0.3">
      <c r="A264" s="20" t="s">
        <v>437</v>
      </c>
      <c r="B264" s="21" t="s">
        <v>438</v>
      </c>
      <c r="C264" s="22">
        <v>40848</v>
      </c>
      <c r="D264" s="21" t="s">
        <v>439</v>
      </c>
      <c r="E264" s="23">
        <v>1018.18</v>
      </c>
    </row>
    <row r="265" spans="1:5" x14ac:dyDescent="0.3">
      <c r="A265" s="20" t="s">
        <v>434</v>
      </c>
      <c r="B265" s="21" t="s">
        <v>435</v>
      </c>
      <c r="C265" s="22">
        <v>40865</v>
      </c>
      <c r="D265" s="21" t="s">
        <v>440</v>
      </c>
      <c r="E265" s="23">
        <v>1035.93</v>
      </c>
    </row>
    <row r="266" spans="1:5" x14ac:dyDescent="0.3">
      <c r="A266" s="20" t="s">
        <v>437</v>
      </c>
      <c r="B266" s="21" t="s">
        <v>438</v>
      </c>
      <c r="C266" s="22">
        <v>40865</v>
      </c>
      <c r="D266" s="21" t="s">
        <v>441</v>
      </c>
      <c r="E266" s="23">
        <v>1016.32</v>
      </c>
    </row>
    <row r="267" spans="1:5" x14ac:dyDescent="0.3">
      <c r="A267" s="20" t="s">
        <v>442</v>
      </c>
      <c r="B267" s="21" t="s">
        <v>443</v>
      </c>
      <c r="C267" s="22">
        <v>40865</v>
      </c>
      <c r="D267" s="21" t="s">
        <v>444</v>
      </c>
      <c r="E267" s="23">
        <v>1017.42</v>
      </c>
    </row>
    <row r="268" spans="1:5" x14ac:dyDescent="0.3">
      <c r="A268" s="20" t="s">
        <v>442</v>
      </c>
      <c r="B268" s="21" t="s">
        <v>443</v>
      </c>
      <c r="C268" s="22">
        <v>40862</v>
      </c>
      <c r="D268" s="21" t="s">
        <v>445</v>
      </c>
      <c r="E268" s="23">
        <v>1016.8</v>
      </c>
    </row>
    <row r="269" spans="1:5" x14ac:dyDescent="0.3">
      <c r="A269" s="20" t="s">
        <v>446</v>
      </c>
      <c r="B269" s="21" t="s">
        <v>447</v>
      </c>
      <c r="C269" s="22">
        <v>40862</v>
      </c>
      <c r="D269" s="21" t="s">
        <v>448</v>
      </c>
      <c r="E269" s="23">
        <v>1030.1500000000001</v>
      </c>
    </row>
    <row r="270" spans="1:5" x14ac:dyDescent="0.3">
      <c r="A270" s="20" t="s">
        <v>442</v>
      </c>
      <c r="B270" s="21" t="s">
        <v>443</v>
      </c>
      <c r="C270" s="22">
        <v>40874</v>
      </c>
      <c r="D270" s="21" t="s">
        <v>449</v>
      </c>
      <c r="E270" s="23">
        <v>1019.44</v>
      </c>
    </row>
    <row r="271" spans="1:5" x14ac:dyDescent="0.3">
      <c r="A271" s="20" t="s">
        <v>450</v>
      </c>
      <c r="B271" s="21" t="s">
        <v>451</v>
      </c>
      <c r="C271" s="22">
        <v>40851</v>
      </c>
      <c r="D271" s="21" t="s">
        <v>452</v>
      </c>
      <c r="E271" s="23">
        <v>1016.07</v>
      </c>
    </row>
    <row r="272" spans="1:5" x14ac:dyDescent="0.3">
      <c r="A272" s="20" t="s">
        <v>453</v>
      </c>
      <c r="B272" s="21" t="s">
        <v>454</v>
      </c>
      <c r="C272" s="22">
        <v>40856</v>
      </c>
      <c r="D272" s="21" t="s">
        <v>455</v>
      </c>
      <c r="E272" s="23">
        <v>1016.2</v>
      </c>
    </row>
    <row r="273" spans="1:6" x14ac:dyDescent="0.3">
      <c r="A273" s="20" t="s">
        <v>456</v>
      </c>
      <c r="B273" s="21" t="s">
        <v>457</v>
      </c>
      <c r="C273" s="22">
        <v>40850</v>
      </c>
      <c r="D273" s="21" t="s">
        <v>458</v>
      </c>
      <c r="E273" s="23">
        <v>1117.83</v>
      </c>
    </row>
    <row r="274" spans="1:6" x14ac:dyDescent="0.3">
      <c r="A274" s="20" t="s">
        <v>459</v>
      </c>
      <c r="B274" s="21" t="s">
        <v>460</v>
      </c>
      <c r="C274" s="22">
        <v>40858</v>
      </c>
      <c r="D274" s="21" t="s">
        <v>461</v>
      </c>
      <c r="E274" s="23">
        <v>1051.95</v>
      </c>
    </row>
    <row r="275" spans="1:6" x14ac:dyDescent="0.3">
      <c r="A275" s="20" t="s">
        <v>462</v>
      </c>
      <c r="B275" s="21" t="s">
        <v>463</v>
      </c>
      <c r="C275" s="22">
        <v>40853</v>
      </c>
      <c r="D275" s="21" t="s">
        <v>464</v>
      </c>
      <c r="E275" s="23">
        <v>1015.99</v>
      </c>
    </row>
    <row r="276" spans="1:6" x14ac:dyDescent="0.3">
      <c r="A276" s="20" t="s">
        <v>459</v>
      </c>
      <c r="B276" s="21" t="s">
        <v>460</v>
      </c>
      <c r="C276" s="22">
        <v>40853</v>
      </c>
      <c r="D276" s="21" t="s">
        <v>465</v>
      </c>
      <c r="E276" s="23">
        <v>1333.77</v>
      </c>
    </row>
    <row r="277" spans="1:6" x14ac:dyDescent="0.3">
      <c r="A277" s="20" t="s">
        <v>466</v>
      </c>
      <c r="B277" s="21" t="s">
        <v>467</v>
      </c>
      <c r="C277" s="22">
        <v>40858</v>
      </c>
      <c r="D277" s="21" t="s">
        <v>468</v>
      </c>
      <c r="E277" s="23">
        <v>1016.01</v>
      </c>
      <c r="F277" s="24"/>
    </row>
    <row r="278" spans="1:6" x14ac:dyDescent="0.3">
      <c r="A278" s="20" t="s">
        <v>466</v>
      </c>
      <c r="B278" s="21" t="s">
        <v>467</v>
      </c>
      <c r="C278" s="22">
        <v>40863</v>
      </c>
      <c r="D278" s="21" t="s">
        <v>469</v>
      </c>
      <c r="E278" s="23">
        <v>1020.33</v>
      </c>
    </row>
    <row r="279" spans="1:6" x14ac:dyDescent="0.3">
      <c r="A279" s="20" t="s">
        <v>466</v>
      </c>
      <c r="B279" s="21" t="s">
        <v>467</v>
      </c>
      <c r="C279" s="22">
        <v>40865</v>
      </c>
      <c r="D279" s="21" t="s">
        <v>470</v>
      </c>
      <c r="E279" s="23">
        <v>1016.26</v>
      </c>
    </row>
    <row r="280" spans="1:6" x14ac:dyDescent="0.3">
      <c r="A280" s="20" t="s">
        <v>466</v>
      </c>
      <c r="B280" s="21" t="s">
        <v>467</v>
      </c>
      <c r="C280" s="22">
        <v>40862</v>
      </c>
      <c r="D280" s="21" t="s">
        <v>471</v>
      </c>
      <c r="E280" s="23">
        <v>1021.43</v>
      </c>
    </row>
    <row r="281" spans="1:6" x14ac:dyDescent="0.3">
      <c r="A281" s="20" t="s">
        <v>466</v>
      </c>
      <c r="B281" s="21" t="s">
        <v>467</v>
      </c>
      <c r="C281" s="22">
        <v>40863</v>
      </c>
      <c r="D281" s="21" t="s">
        <v>472</v>
      </c>
      <c r="E281" s="23">
        <v>1017.38</v>
      </c>
    </row>
    <row r="282" spans="1:6" x14ac:dyDescent="0.3">
      <c r="A282" s="20" t="s">
        <v>466</v>
      </c>
      <c r="B282" s="21" t="s">
        <v>467</v>
      </c>
      <c r="C282" s="22">
        <v>40858</v>
      </c>
      <c r="D282" s="21" t="s">
        <v>473</v>
      </c>
      <c r="E282" s="23">
        <v>1018</v>
      </c>
    </row>
    <row r="283" spans="1:6" x14ac:dyDescent="0.3">
      <c r="A283" s="20" t="s">
        <v>466</v>
      </c>
      <c r="B283" s="21" t="s">
        <v>467</v>
      </c>
      <c r="C283" s="22">
        <v>40848</v>
      </c>
      <c r="D283" s="21" t="s">
        <v>474</v>
      </c>
      <c r="E283" s="23">
        <v>1015.12</v>
      </c>
    </row>
    <row r="284" spans="1:6" x14ac:dyDescent="0.3">
      <c r="A284" s="20" t="s">
        <v>466</v>
      </c>
      <c r="B284" s="21" t="s">
        <v>467</v>
      </c>
      <c r="C284" s="22">
        <v>40848</v>
      </c>
      <c r="D284" s="21" t="s">
        <v>475</v>
      </c>
      <c r="E284" s="23">
        <v>1017.42</v>
      </c>
    </row>
    <row r="285" spans="1:6" x14ac:dyDescent="0.3">
      <c r="A285" s="20" t="s">
        <v>466</v>
      </c>
      <c r="B285" s="21" t="s">
        <v>467</v>
      </c>
      <c r="C285" s="22">
        <v>40862</v>
      </c>
      <c r="D285" s="21" t="s">
        <v>476</v>
      </c>
      <c r="E285" s="23">
        <v>1021.87</v>
      </c>
    </row>
    <row r="286" spans="1:6" x14ac:dyDescent="0.3">
      <c r="A286" s="20" t="s">
        <v>466</v>
      </c>
      <c r="B286" s="21" t="s">
        <v>467</v>
      </c>
      <c r="C286" s="22">
        <v>40858</v>
      </c>
      <c r="D286" s="21" t="s">
        <v>477</v>
      </c>
      <c r="E286" s="23">
        <v>1016.97</v>
      </c>
    </row>
    <row r="287" spans="1:6" x14ac:dyDescent="0.3">
      <c r="A287" s="20" t="s">
        <v>466</v>
      </c>
      <c r="B287" s="21" t="s">
        <v>467</v>
      </c>
      <c r="C287" s="22">
        <v>40862</v>
      </c>
      <c r="D287" s="21" t="s">
        <v>478</v>
      </c>
      <c r="E287" s="23">
        <v>1017.32</v>
      </c>
    </row>
    <row r="288" spans="1:6" x14ac:dyDescent="0.3">
      <c r="A288" s="20" t="s">
        <v>466</v>
      </c>
      <c r="B288" s="21" t="s">
        <v>467</v>
      </c>
      <c r="C288" s="22">
        <v>40871</v>
      </c>
      <c r="D288" s="21" t="s">
        <v>479</v>
      </c>
      <c r="E288" s="23">
        <v>1016.79</v>
      </c>
    </row>
    <row r="289" spans="1:5" x14ac:dyDescent="0.3">
      <c r="A289" s="20" t="s">
        <v>466</v>
      </c>
      <c r="B289" s="21" t="s">
        <v>467</v>
      </c>
      <c r="C289" s="22">
        <v>40875</v>
      </c>
      <c r="D289" s="21" t="s">
        <v>480</v>
      </c>
      <c r="E289" s="23">
        <v>1017.33</v>
      </c>
    </row>
    <row r="290" spans="1:5" x14ac:dyDescent="0.3">
      <c r="A290" s="20" t="s">
        <v>466</v>
      </c>
      <c r="B290" s="21" t="s">
        <v>467</v>
      </c>
      <c r="C290" s="22">
        <v>40848</v>
      </c>
      <c r="D290" s="21" t="s">
        <v>481</v>
      </c>
      <c r="E290" s="23">
        <v>1016.71</v>
      </c>
    </row>
    <row r="291" spans="1:5" x14ac:dyDescent="0.3">
      <c r="A291" s="20" t="s">
        <v>466</v>
      </c>
      <c r="B291" s="21" t="s">
        <v>467</v>
      </c>
      <c r="C291" s="22">
        <v>40871</v>
      </c>
      <c r="D291" s="21" t="s">
        <v>482</v>
      </c>
      <c r="E291" s="23">
        <v>1017.27</v>
      </c>
    </row>
    <row r="292" spans="1:5" x14ac:dyDescent="0.3">
      <c r="A292" s="20" t="s">
        <v>466</v>
      </c>
      <c r="B292" s="21" t="s">
        <v>467</v>
      </c>
      <c r="C292" s="22">
        <v>40858</v>
      </c>
      <c r="D292" s="21" t="s">
        <v>483</v>
      </c>
      <c r="E292" s="23">
        <v>1019.28</v>
      </c>
    </row>
    <row r="293" spans="1:5" x14ac:dyDescent="0.3">
      <c r="A293" s="20" t="s">
        <v>466</v>
      </c>
      <c r="B293" s="21" t="s">
        <v>467</v>
      </c>
      <c r="C293" s="22">
        <v>40849</v>
      </c>
      <c r="D293" s="21" t="s">
        <v>484</v>
      </c>
      <c r="E293" s="23">
        <v>1015.43</v>
      </c>
    </row>
    <row r="294" spans="1:5" x14ac:dyDescent="0.3">
      <c r="A294" s="20" t="s">
        <v>466</v>
      </c>
      <c r="B294" s="21" t="s">
        <v>467</v>
      </c>
      <c r="C294" s="22">
        <v>40865</v>
      </c>
      <c r="D294" s="21" t="s">
        <v>485</v>
      </c>
      <c r="E294" s="23">
        <v>1016.73</v>
      </c>
    </row>
    <row r="295" spans="1:5" x14ac:dyDescent="0.3">
      <c r="A295" s="20" t="s">
        <v>466</v>
      </c>
      <c r="B295" s="21" t="s">
        <v>467</v>
      </c>
      <c r="C295" s="22">
        <v>40862</v>
      </c>
      <c r="D295" s="21" t="s">
        <v>486</v>
      </c>
      <c r="E295" s="23">
        <v>1021.77</v>
      </c>
    </row>
    <row r="296" spans="1:5" x14ac:dyDescent="0.3">
      <c r="A296" s="20" t="s">
        <v>466</v>
      </c>
      <c r="B296" s="21" t="s">
        <v>467</v>
      </c>
      <c r="C296" s="22">
        <v>40848</v>
      </c>
      <c r="D296" s="21" t="s">
        <v>487</v>
      </c>
      <c r="E296" s="23">
        <v>1016.88</v>
      </c>
    </row>
    <row r="297" spans="1:5" x14ac:dyDescent="0.3">
      <c r="A297" s="20" t="s">
        <v>466</v>
      </c>
      <c r="B297" s="21" t="s">
        <v>467</v>
      </c>
      <c r="C297" s="22">
        <v>40873</v>
      </c>
      <c r="D297" s="21" t="s">
        <v>488</v>
      </c>
      <c r="E297" s="23">
        <v>1021.59</v>
      </c>
    </row>
    <row r="298" spans="1:5" x14ac:dyDescent="0.3">
      <c r="A298" s="20" t="s">
        <v>466</v>
      </c>
      <c r="B298" s="21" t="s">
        <v>467</v>
      </c>
      <c r="C298" s="22">
        <v>40865</v>
      </c>
      <c r="D298" s="21" t="s">
        <v>489</v>
      </c>
      <c r="E298" s="23">
        <v>1017.98</v>
      </c>
    </row>
    <row r="299" spans="1:5" x14ac:dyDescent="0.3">
      <c r="A299" s="20" t="s">
        <v>466</v>
      </c>
      <c r="B299" s="21" t="s">
        <v>467</v>
      </c>
      <c r="C299" s="22">
        <v>40848</v>
      </c>
      <c r="D299" s="21" t="s">
        <v>490</v>
      </c>
      <c r="E299" s="23">
        <v>1028.82</v>
      </c>
    </row>
    <row r="300" spans="1:5" x14ac:dyDescent="0.3">
      <c r="A300" s="20" t="s">
        <v>466</v>
      </c>
      <c r="B300" s="21" t="s">
        <v>467</v>
      </c>
      <c r="C300" s="22">
        <v>40858</v>
      </c>
      <c r="D300" s="21" t="s">
        <v>491</v>
      </c>
      <c r="E300" s="23">
        <v>1016.44</v>
      </c>
    </row>
    <row r="301" spans="1:5" x14ac:dyDescent="0.3">
      <c r="A301" s="20" t="s">
        <v>466</v>
      </c>
      <c r="B301" s="21" t="s">
        <v>467</v>
      </c>
      <c r="C301" s="22">
        <v>40863</v>
      </c>
      <c r="D301" s="21" t="s">
        <v>492</v>
      </c>
      <c r="E301" s="23">
        <v>1019.52</v>
      </c>
    </row>
    <row r="302" spans="1:5" x14ac:dyDescent="0.3">
      <c r="A302" s="20" t="s">
        <v>466</v>
      </c>
      <c r="B302" s="21" t="s">
        <v>467</v>
      </c>
      <c r="C302" s="22">
        <v>40872</v>
      </c>
      <c r="D302" s="21" t="s">
        <v>493</v>
      </c>
      <c r="E302" s="23">
        <v>1019.17</v>
      </c>
    </row>
    <row r="303" spans="1:5" x14ac:dyDescent="0.3">
      <c r="A303" s="20" t="s">
        <v>466</v>
      </c>
      <c r="B303" s="21" t="s">
        <v>467</v>
      </c>
      <c r="C303" s="22">
        <v>40873</v>
      </c>
      <c r="D303" s="21" t="s">
        <v>494</v>
      </c>
      <c r="E303" s="23">
        <v>1015.94</v>
      </c>
    </row>
    <row r="304" spans="1:5" x14ac:dyDescent="0.3">
      <c r="A304" s="20" t="s">
        <v>466</v>
      </c>
      <c r="B304" s="21" t="s">
        <v>467</v>
      </c>
      <c r="C304" s="22">
        <v>40858</v>
      </c>
      <c r="D304" s="21" t="s">
        <v>495</v>
      </c>
      <c r="E304" s="23">
        <v>1016.15</v>
      </c>
    </row>
    <row r="305" spans="1:5" x14ac:dyDescent="0.3">
      <c r="A305" s="20" t="s">
        <v>496</v>
      </c>
      <c r="B305" s="21" t="s">
        <v>497</v>
      </c>
      <c r="C305" s="22">
        <v>40853</v>
      </c>
      <c r="D305" s="21" t="s">
        <v>498</v>
      </c>
      <c r="E305" s="23">
        <v>1016.4</v>
      </c>
    </row>
    <row r="306" spans="1:5" x14ac:dyDescent="0.3">
      <c r="A306" s="20" t="s">
        <v>499</v>
      </c>
      <c r="B306" s="21" t="s">
        <v>500</v>
      </c>
      <c r="C306" s="22">
        <v>40851</v>
      </c>
      <c r="D306" s="21" t="s">
        <v>501</v>
      </c>
      <c r="E306" s="23">
        <v>1285.3600000000001</v>
      </c>
    </row>
    <row r="307" spans="1:5" x14ac:dyDescent="0.3">
      <c r="A307" s="20" t="s">
        <v>499</v>
      </c>
      <c r="B307" s="21" t="s">
        <v>500</v>
      </c>
      <c r="C307" s="22">
        <v>40851</v>
      </c>
      <c r="D307" s="21" t="s">
        <v>502</v>
      </c>
      <c r="E307" s="23">
        <v>1071.57</v>
      </c>
    </row>
    <row r="308" spans="1:5" x14ac:dyDescent="0.3">
      <c r="A308" s="20" t="s">
        <v>499</v>
      </c>
      <c r="B308" s="21" t="s">
        <v>500</v>
      </c>
      <c r="C308" s="22">
        <v>40852</v>
      </c>
      <c r="D308" s="21" t="s">
        <v>503</v>
      </c>
      <c r="E308" s="23">
        <v>1056.97</v>
      </c>
    </row>
    <row r="309" spans="1:5" x14ac:dyDescent="0.3">
      <c r="A309" s="20" t="s">
        <v>499</v>
      </c>
      <c r="B309" s="21" t="s">
        <v>500</v>
      </c>
      <c r="C309" s="22">
        <v>40858</v>
      </c>
      <c r="D309" s="21" t="s">
        <v>504</v>
      </c>
      <c r="E309" s="23">
        <v>1053.83</v>
      </c>
    </row>
    <row r="310" spans="1:5" x14ac:dyDescent="0.3">
      <c r="A310" s="20" t="s">
        <v>499</v>
      </c>
      <c r="B310" s="21" t="s">
        <v>500</v>
      </c>
      <c r="C310" s="22">
        <v>40864</v>
      </c>
      <c r="D310" s="21" t="s">
        <v>505</v>
      </c>
      <c r="E310" s="23">
        <v>1019.56</v>
      </c>
    </row>
    <row r="311" spans="1:5" x14ac:dyDescent="0.3">
      <c r="A311" s="20" t="s">
        <v>499</v>
      </c>
      <c r="B311" s="21" t="s">
        <v>500</v>
      </c>
      <c r="C311" s="22">
        <v>40869</v>
      </c>
      <c r="D311" s="21" t="s">
        <v>506</v>
      </c>
      <c r="E311" s="23">
        <v>1134.6399999999999</v>
      </c>
    </row>
    <row r="312" spans="1:5" x14ac:dyDescent="0.3">
      <c r="A312" s="20" t="s">
        <v>499</v>
      </c>
      <c r="B312" s="21" t="s">
        <v>500</v>
      </c>
      <c r="C312" s="22">
        <v>40871</v>
      </c>
      <c r="D312" s="21" t="s">
        <v>507</v>
      </c>
      <c r="E312" s="23">
        <v>1061.8800000000001</v>
      </c>
    </row>
    <row r="313" spans="1:5" x14ac:dyDescent="0.3">
      <c r="A313" s="20" t="s">
        <v>508</v>
      </c>
      <c r="B313" s="21" t="s">
        <v>509</v>
      </c>
      <c r="C313" s="22">
        <v>40852</v>
      </c>
      <c r="D313" s="21" t="s">
        <v>510</v>
      </c>
      <c r="E313" s="23">
        <v>1021.91</v>
      </c>
    </row>
    <row r="314" spans="1:5" x14ac:dyDescent="0.3">
      <c r="A314" s="20" t="s">
        <v>511</v>
      </c>
      <c r="B314" s="21" t="s">
        <v>512</v>
      </c>
      <c r="C314" s="22">
        <v>40850</v>
      </c>
      <c r="D314" s="21" t="s">
        <v>513</v>
      </c>
      <c r="E314" s="23">
        <v>1017.97</v>
      </c>
    </row>
    <row r="315" spans="1:5" x14ac:dyDescent="0.3">
      <c r="A315" s="20" t="s">
        <v>511</v>
      </c>
      <c r="B315" s="21" t="s">
        <v>512</v>
      </c>
      <c r="C315" s="22">
        <v>40858</v>
      </c>
      <c r="D315" s="21" t="s">
        <v>514</v>
      </c>
      <c r="E315" s="23">
        <v>1032.6400000000001</v>
      </c>
    </row>
    <row r="316" spans="1:5" x14ac:dyDescent="0.3">
      <c r="A316" s="20" t="s">
        <v>515</v>
      </c>
      <c r="B316" s="21" t="s">
        <v>516</v>
      </c>
      <c r="C316" s="22">
        <v>40874</v>
      </c>
      <c r="D316" s="21" t="s">
        <v>517</v>
      </c>
      <c r="E316" s="23">
        <v>1019.07</v>
      </c>
    </row>
    <row r="317" spans="1:5" x14ac:dyDescent="0.3">
      <c r="A317" s="20" t="s">
        <v>518</v>
      </c>
      <c r="B317" s="21" t="s">
        <v>519</v>
      </c>
      <c r="C317" s="22" t="s">
        <v>520</v>
      </c>
      <c r="D317" s="21" t="s">
        <v>521</v>
      </c>
      <c r="E317" s="23">
        <v>1018.5</v>
      </c>
    </row>
    <row r="318" spans="1:5" x14ac:dyDescent="0.3">
      <c r="A318" s="20" t="s">
        <v>522</v>
      </c>
      <c r="B318" s="21" t="s">
        <v>523</v>
      </c>
      <c r="C318" s="22">
        <v>40864</v>
      </c>
      <c r="D318" s="21" t="s">
        <v>524</v>
      </c>
      <c r="E318" s="23">
        <v>1020.12</v>
      </c>
    </row>
    <row r="319" spans="1:5" x14ac:dyDescent="0.3">
      <c r="A319" s="20" t="s">
        <v>522</v>
      </c>
      <c r="B319" s="21" t="s">
        <v>523</v>
      </c>
      <c r="C319" s="22">
        <v>40849</v>
      </c>
      <c r="D319" s="21" t="s">
        <v>525</v>
      </c>
      <c r="E319" s="23">
        <v>1018.32</v>
      </c>
    </row>
    <row r="320" spans="1:5" x14ac:dyDescent="0.3">
      <c r="A320" s="20" t="s">
        <v>526</v>
      </c>
      <c r="B320" s="21" t="s">
        <v>527</v>
      </c>
      <c r="C320" s="22">
        <v>40851</v>
      </c>
      <c r="D320" s="21" t="s">
        <v>528</v>
      </c>
      <c r="E320" s="23">
        <v>1026.8</v>
      </c>
    </row>
    <row r="321" spans="1:5" x14ac:dyDescent="0.3">
      <c r="A321" s="20" t="s">
        <v>529</v>
      </c>
      <c r="B321" s="21" t="s">
        <v>530</v>
      </c>
      <c r="C321" s="22">
        <v>40853</v>
      </c>
      <c r="D321" s="21" t="s">
        <v>531</v>
      </c>
      <c r="E321" s="23">
        <v>1016.11</v>
      </c>
    </row>
    <row r="322" spans="1:5" x14ac:dyDescent="0.3">
      <c r="A322" s="20" t="s">
        <v>529</v>
      </c>
      <c r="B322" s="21" t="s">
        <v>530</v>
      </c>
      <c r="C322" s="22">
        <v>40853</v>
      </c>
      <c r="D322" s="21" t="s">
        <v>532</v>
      </c>
      <c r="E322" s="23">
        <v>1023.47</v>
      </c>
    </row>
    <row r="323" spans="1:5" x14ac:dyDescent="0.3">
      <c r="A323" s="20" t="s">
        <v>529</v>
      </c>
      <c r="B323" s="21" t="s">
        <v>530</v>
      </c>
      <c r="C323" s="22">
        <v>40853</v>
      </c>
      <c r="D323" s="21" t="s">
        <v>533</v>
      </c>
      <c r="E323" s="23">
        <v>1022.06</v>
      </c>
    </row>
    <row r="324" spans="1:5" x14ac:dyDescent="0.3">
      <c r="A324" s="20" t="s">
        <v>529</v>
      </c>
      <c r="B324" s="21" t="s">
        <v>530</v>
      </c>
      <c r="C324" s="22">
        <v>40869</v>
      </c>
      <c r="D324" s="21" t="s">
        <v>534</v>
      </c>
      <c r="E324" s="23">
        <v>1020.03</v>
      </c>
    </row>
    <row r="325" spans="1:5" x14ac:dyDescent="0.3">
      <c r="A325" s="20" t="s">
        <v>529</v>
      </c>
      <c r="B325" s="21" t="s">
        <v>530</v>
      </c>
      <c r="C325" s="22">
        <v>40848</v>
      </c>
      <c r="D325" s="21" t="s">
        <v>535</v>
      </c>
      <c r="E325" s="23">
        <v>1023.67</v>
      </c>
    </row>
    <row r="326" spans="1:5" x14ac:dyDescent="0.3">
      <c r="A326" s="20" t="s">
        <v>536</v>
      </c>
      <c r="B326" s="21" t="s">
        <v>537</v>
      </c>
      <c r="C326" s="22">
        <v>40848</v>
      </c>
      <c r="D326" s="21" t="s">
        <v>538</v>
      </c>
      <c r="E326" s="23">
        <v>1015.96</v>
      </c>
    </row>
    <row r="327" spans="1:5" x14ac:dyDescent="0.3">
      <c r="A327" s="20" t="s">
        <v>539</v>
      </c>
      <c r="B327" s="21" t="s">
        <v>540</v>
      </c>
      <c r="C327" s="22">
        <v>40858</v>
      </c>
      <c r="D327" s="21" t="s">
        <v>541</v>
      </c>
      <c r="E327" s="23">
        <v>1045.8399999999999</v>
      </c>
    </row>
    <row r="328" spans="1:5" x14ac:dyDescent="0.3">
      <c r="A328" s="20" t="s">
        <v>542</v>
      </c>
      <c r="B328" s="21" t="s">
        <v>543</v>
      </c>
      <c r="C328" s="22">
        <v>40866</v>
      </c>
      <c r="D328" s="21" t="s">
        <v>544</v>
      </c>
      <c r="E328" s="23">
        <v>1019.8</v>
      </c>
    </row>
    <row r="329" spans="1:5" x14ac:dyDescent="0.3">
      <c r="A329" s="20" t="s">
        <v>545</v>
      </c>
      <c r="B329" s="21" t="s">
        <v>546</v>
      </c>
      <c r="C329" s="22">
        <v>40870</v>
      </c>
      <c r="D329" s="21" t="s">
        <v>547</v>
      </c>
      <c r="E329" s="23">
        <v>1030.9000000000001</v>
      </c>
    </row>
    <row r="330" spans="1:5" x14ac:dyDescent="0.3">
      <c r="A330" s="20" t="s">
        <v>548</v>
      </c>
      <c r="B330" s="21" t="s">
        <v>549</v>
      </c>
      <c r="C330" s="22">
        <v>40863</v>
      </c>
      <c r="D330" s="21" t="s">
        <v>550</v>
      </c>
      <c r="E330" s="23">
        <v>1017.9</v>
      </c>
    </row>
    <row r="331" spans="1:5" x14ac:dyDescent="0.3">
      <c r="A331" s="20" t="s">
        <v>548</v>
      </c>
      <c r="B331" s="21" t="s">
        <v>549</v>
      </c>
      <c r="C331" s="22">
        <v>40863</v>
      </c>
      <c r="D331" s="21" t="s">
        <v>551</v>
      </c>
      <c r="E331" s="23">
        <v>1031.3800000000001</v>
      </c>
    </row>
    <row r="332" spans="1:5" x14ac:dyDescent="0.3">
      <c r="A332" s="20" t="s">
        <v>548</v>
      </c>
      <c r="B332" s="21" t="s">
        <v>549</v>
      </c>
      <c r="C332" s="22">
        <v>40866</v>
      </c>
      <c r="D332" s="21" t="s">
        <v>552</v>
      </c>
      <c r="E332" s="23">
        <v>1020.12</v>
      </c>
    </row>
    <row r="333" spans="1:5" x14ac:dyDescent="0.3">
      <c r="A333" s="20" t="s">
        <v>553</v>
      </c>
      <c r="B333" s="21" t="s">
        <v>554</v>
      </c>
      <c r="C333" s="22">
        <v>40872</v>
      </c>
      <c r="D333" s="21" t="s">
        <v>555</v>
      </c>
      <c r="E333" s="23">
        <v>1020.19</v>
      </c>
    </row>
    <row r="334" spans="1:5" x14ac:dyDescent="0.3">
      <c r="A334" s="20" t="s">
        <v>553</v>
      </c>
      <c r="B334" s="21" t="s">
        <v>554</v>
      </c>
      <c r="C334" s="22">
        <v>40848</v>
      </c>
      <c r="D334" s="21" t="s">
        <v>556</v>
      </c>
      <c r="E334" s="23">
        <v>1019.64</v>
      </c>
    </row>
    <row r="335" spans="1:5" x14ac:dyDescent="0.3">
      <c r="A335" s="20" t="s">
        <v>557</v>
      </c>
      <c r="B335" s="21" t="s">
        <v>558</v>
      </c>
      <c r="C335" s="22">
        <v>40848</v>
      </c>
      <c r="D335" s="21" t="s">
        <v>559</v>
      </c>
      <c r="E335" s="23">
        <v>1054.49</v>
      </c>
    </row>
    <row r="336" spans="1:5" x14ac:dyDescent="0.3">
      <c r="A336" s="20" t="s">
        <v>557</v>
      </c>
      <c r="B336" s="21" t="s">
        <v>558</v>
      </c>
      <c r="C336" s="22">
        <v>40848</v>
      </c>
      <c r="D336" s="21" t="s">
        <v>560</v>
      </c>
      <c r="E336" s="23">
        <v>1022.69</v>
      </c>
    </row>
    <row r="337" spans="1:5" x14ac:dyDescent="0.3">
      <c r="A337" s="20" t="s">
        <v>557</v>
      </c>
      <c r="B337" s="21" t="s">
        <v>558</v>
      </c>
      <c r="C337" s="22">
        <v>40858</v>
      </c>
      <c r="D337" s="21" t="s">
        <v>561</v>
      </c>
      <c r="E337" s="23">
        <v>1019.44</v>
      </c>
    </row>
    <row r="338" spans="1:5" x14ac:dyDescent="0.3">
      <c r="A338" s="20" t="s">
        <v>562</v>
      </c>
      <c r="B338" s="21" t="s">
        <v>563</v>
      </c>
      <c r="C338" s="22">
        <v>40858</v>
      </c>
      <c r="D338" s="21" t="s">
        <v>564</v>
      </c>
      <c r="E338" s="23">
        <v>1017.71</v>
      </c>
    </row>
    <row r="339" spans="1:5" x14ac:dyDescent="0.3">
      <c r="A339" s="20" t="s">
        <v>562</v>
      </c>
      <c r="B339" s="21" t="s">
        <v>563</v>
      </c>
      <c r="C339" s="22">
        <v>40858</v>
      </c>
      <c r="D339" s="21" t="s">
        <v>565</v>
      </c>
      <c r="E339" s="23">
        <v>1019.58</v>
      </c>
    </row>
    <row r="340" spans="1:5" x14ac:dyDescent="0.3">
      <c r="A340" s="20" t="s">
        <v>566</v>
      </c>
      <c r="B340" s="21" t="s">
        <v>567</v>
      </c>
      <c r="C340" s="22">
        <v>40850</v>
      </c>
      <c r="D340" s="21" t="s">
        <v>568</v>
      </c>
      <c r="E340" s="23">
        <v>1023.53</v>
      </c>
    </row>
    <row r="341" spans="1:5" x14ac:dyDescent="0.3">
      <c r="A341" s="20" t="s">
        <v>569</v>
      </c>
      <c r="B341" s="21" t="s">
        <v>570</v>
      </c>
      <c r="C341" s="22">
        <v>40870</v>
      </c>
      <c r="D341" s="21" t="s">
        <v>571</v>
      </c>
      <c r="E341" s="23">
        <v>1019.01</v>
      </c>
    </row>
    <row r="342" spans="1:5" x14ac:dyDescent="0.3">
      <c r="A342" s="20" t="s">
        <v>572</v>
      </c>
      <c r="B342" s="21" t="s">
        <v>573</v>
      </c>
      <c r="C342" s="22">
        <v>40856</v>
      </c>
      <c r="D342" s="21" t="s">
        <v>574</v>
      </c>
      <c r="E342" s="23">
        <v>1026.33</v>
      </c>
    </row>
    <row r="343" spans="1:5" x14ac:dyDescent="0.3">
      <c r="A343" s="20" t="s">
        <v>575</v>
      </c>
      <c r="B343" s="21" t="s">
        <v>576</v>
      </c>
      <c r="C343" s="22">
        <v>40857</v>
      </c>
      <c r="D343" s="21" t="s">
        <v>577</v>
      </c>
      <c r="E343" s="23">
        <v>1018.44</v>
      </c>
    </row>
    <row r="344" spans="1:5" x14ac:dyDescent="0.3">
      <c r="A344" s="20" t="s">
        <v>578</v>
      </c>
      <c r="B344" s="21" t="s">
        <v>579</v>
      </c>
      <c r="C344" s="22">
        <v>40865</v>
      </c>
      <c r="D344" s="21" t="s">
        <v>580</v>
      </c>
      <c r="E344" s="23">
        <v>1016.18</v>
      </c>
    </row>
    <row r="345" spans="1:5" x14ac:dyDescent="0.3">
      <c r="A345" s="20" t="s">
        <v>581</v>
      </c>
      <c r="B345" s="21" t="s">
        <v>582</v>
      </c>
      <c r="C345" s="22">
        <v>40869</v>
      </c>
      <c r="D345" s="21" t="s">
        <v>583</v>
      </c>
      <c r="E345" s="23">
        <v>1034.44</v>
      </c>
    </row>
    <row r="346" spans="1:5" x14ac:dyDescent="0.3">
      <c r="A346" s="20" t="s">
        <v>581</v>
      </c>
      <c r="B346" s="21" t="s">
        <v>582</v>
      </c>
      <c r="C346" s="22">
        <v>40859</v>
      </c>
      <c r="D346" s="21" t="s">
        <v>584</v>
      </c>
      <c r="E346" s="23">
        <v>1029.58</v>
      </c>
    </row>
    <row r="347" spans="1:5" x14ac:dyDescent="0.3">
      <c r="A347" s="20" t="s">
        <v>581</v>
      </c>
      <c r="B347" s="21" t="s">
        <v>582</v>
      </c>
      <c r="C347" s="22">
        <v>40865</v>
      </c>
      <c r="D347" s="21" t="s">
        <v>585</v>
      </c>
      <c r="E347" s="23">
        <v>1022.2</v>
      </c>
    </row>
    <row r="348" spans="1:5" x14ac:dyDescent="0.3">
      <c r="A348" s="20" t="s">
        <v>581</v>
      </c>
      <c r="B348" s="21" t="s">
        <v>582</v>
      </c>
      <c r="C348" s="22">
        <v>40858</v>
      </c>
      <c r="D348" s="21" t="s">
        <v>586</v>
      </c>
      <c r="E348" s="23">
        <v>1019.32</v>
      </c>
    </row>
    <row r="349" spans="1:5" x14ac:dyDescent="0.3">
      <c r="A349" s="20" t="s">
        <v>587</v>
      </c>
      <c r="B349" s="21" t="s">
        <v>588</v>
      </c>
      <c r="C349" s="22">
        <v>40848</v>
      </c>
      <c r="D349" s="21" t="s">
        <v>589</v>
      </c>
      <c r="E349" s="23">
        <v>1875.26</v>
      </c>
    </row>
    <row r="350" spans="1:5" x14ac:dyDescent="0.3">
      <c r="A350" s="20" t="s">
        <v>587</v>
      </c>
      <c r="B350" s="21" t="s">
        <v>588</v>
      </c>
      <c r="C350" s="22">
        <v>40850</v>
      </c>
      <c r="D350" s="21" t="s">
        <v>590</v>
      </c>
      <c r="E350" s="23">
        <v>1392.85</v>
      </c>
    </row>
    <row r="351" spans="1:5" x14ac:dyDescent="0.3">
      <c r="A351" s="20" t="s">
        <v>587</v>
      </c>
      <c r="B351" s="21" t="s">
        <v>588</v>
      </c>
      <c r="C351" s="22">
        <v>40850</v>
      </c>
      <c r="D351" s="21" t="s">
        <v>591</v>
      </c>
      <c r="E351" s="23">
        <v>1064.5</v>
      </c>
    </row>
    <row r="352" spans="1:5" x14ac:dyDescent="0.3">
      <c r="A352" s="20" t="s">
        <v>587</v>
      </c>
      <c r="B352" s="21" t="s">
        <v>588</v>
      </c>
      <c r="C352" s="22">
        <v>40851</v>
      </c>
      <c r="D352" s="21" t="s">
        <v>592</v>
      </c>
      <c r="E352" s="23">
        <v>1668.9</v>
      </c>
    </row>
    <row r="353" spans="1:5" x14ac:dyDescent="0.3">
      <c r="A353" s="20" t="s">
        <v>587</v>
      </c>
      <c r="B353" s="21" t="s">
        <v>588</v>
      </c>
      <c r="C353" s="22">
        <v>40851</v>
      </c>
      <c r="D353" s="21" t="s">
        <v>593</v>
      </c>
      <c r="E353" s="23">
        <v>1089.25</v>
      </c>
    </row>
    <row r="354" spans="1:5" x14ac:dyDescent="0.3">
      <c r="A354" s="20" t="s">
        <v>587</v>
      </c>
      <c r="B354" s="21" t="s">
        <v>588</v>
      </c>
      <c r="C354" s="22">
        <v>40856</v>
      </c>
      <c r="D354" s="21" t="s">
        <v>594</v>
      </c>
      <c r="E354" s="23">
        <v>1292.3699999999999</v>
      </c>
    </row>
    <row r="355" spans="1:5" x14ac:dyDescent="0.3">
      <c r="A355" s="20" t="s">
        <v>587</v>
      </c>
      <c r="B355" s="21" t="s">
        <v>588</v>
      </c>
      <c r="C355" s="22">
        <v>40856</v>
      </c>
      <c r="D355" s="21" t="s">
        <v>595</v>
      </c>
      <c r="E355" s="23">
        <v>1358.23</v>
      </c>
    </row>
    <row r="356" spans="1:5" x14ac:dyDescent="0.3">
      <c r="A356" s="20" t="s">
        <v>587</v>
      </c>
      <c r="B356" s="21" t="s">
        <v>588</v>
      </c>
      <c r="C356" s="22">
        <v>40863</v>
      </c>
      <c r="D356" s="21" t="s">
        <v>596</v>
      </c>
      <c r="E356" s="23">
        <v>1239.8499999999999</v>
      </c>
    </row>
    <row r="357" spans="1:5" x14ac:dyDescent="0.3">
      <c r="A357" s="20" t="s">
        <v>587</v>
      </c>
      <c r="B357" s="21" t="s">
        <v>588</v>
      </c>
      <c r="C357" s="22">
        <v>40863</v>
      </c>
      <c r="D357" s="21" t="s">
        <v>597</v>
      </c>
      <c r="E357" s="23">
        <v>1140.51</v>
      </c>
    </row>
    <row r="358" spans="1:5" x14ac:dyDescent="0.3">
      <c r="A358" s="20" t="s">
        <v>587</v>
      </c>
      <c r="B358" s="21" t="s">
        <v>588</v>
      </c>
      <c r="C358" s="22">
        <v>40864</v>
      </c>
      <c r="D358" s="21" t="s">
        <v>598</v>
      </c>
      <c r="E358" s="23">
        <v>1048.01</v>
      </c>
    </row>
    <row r="359" spans="1:5" x14ac:dyDescent="0.3">
      <c r="A359" s="20" t="s">
        <v>587</v>
      </c>
      <c r="B359" s="21" t="s">
        <v>588</v>
      </c>
      <c r="C359" s="22">
        <v>40869</v>
      </c>
      <c r="D359" s="21" t="s">
        <v>599</v>
      </c>
      <c r="E359" s="23">
        <v>1311.06</v>
      </c>
    </row>
    <row r="360" spans="1:5" x14ac:dyDescent="0.3">
      <c r="A360" s="20" t="s">
        <v>587</v>
      </c>
      <c r="B360" s="21" t="s">
        <v>588</v>
      </c>
      <c r="C360" s="22">
        <v>40869</v>
      </c>
      <c r="D360" s="21" t="s">
        <v>600</v>
      </c>
      <c r="E360" s="23">
        <v>1262.5</v>
      </c>
    </row>
    <row r="361" spans="1:5" x14ac:dyDescent="0.3">
      <c r="A361" s="20" t="s">
        <v>601</v>
      </c>
      <c r="B361" s="21" t="s">
        <v>602</v>
      </c>
      <c r="C361" s="22">
        <v>40873</v>
      </c>
      <c r="D361" s="21" t="s">
        <v>603</v>
      </c>
      <c r="E361" s="23">
        <v>1015.27</v>
      </c>
    </row>
    <row r="362" spans="1:5" x14ac:dyDescent="0.3">
      <c r="A362" s="20" t="s">
        <v>601</v>
      </c>
      <c r="B362" s="21" t="s">
        <v>602</v>
      </c>
      <c r="C362" s="22">
        <v>40873</v>
      </c>
      <c r="D362" s="21" t="s">
        <v>604</v>
      </c>
      <c r="E362" s="23">
        <v>1017.05</v>
      </c>
    </row>
    <row r="363" spans="1:5" x14ac:dyDescent="0.3">
      <c r="A363" s="20" t="s">
        <v>601</v>
      </c>
      <c r="B363" s="21" t="s">
        <v>602</v>
      </c>
      <c r="C363" s="22">
        <v>40873</v>
      </c>
      <c r="D363" s="21" t="s">
        <v>605</v>
      </c>
      <c r="E363" s="23">
        <v>1015.13</v>
      </c>
    </row>
    <row r="364" spans="1:5" x14ac:dyDescent="0.3">
      <c r="A364" s="20" t="s">
        <v>601</v>
      </c>
      <c r="B364" s="21" t="s">
        <v>602</v>
      </c>
      <c r="C364" s="22">
        <v>40848</v>
      </c>
      <c r="D364" s="21" t="s">
        <v>606</v>
      </c>
      <c r="E364" s="23">
        <v>1081.5999999999999</v>
      </c>
    </row>
    <row r="365" spans="1:5" x14ac:dyDescent="0.3">
      <c r="A365" s="20" t="s">
        <v>601</v>
      </c>
      <c r="B365" s="21" t="s">
        <v>602</v>
      </c>
      <c r="C365" s="22">
        <v>40848</v>
      </c>
      <c r="D365" s="21" t="s">
        <v>607</v>
      </c>
      <c r="E365" s="23">
        <v>1016.15</v>
      </c>
    </row>
    <row r="366" spans="1:5" x14ac:dyDescent="0.3">
      <c r="A366" s="20" t="s">
        <v>601</v>
      </c>
      <c r="B366" s="21" t="s">
        <v>602</v>
      </c>
      <c r="C366" s="22">
        <v>40848</v>
      </c>
      <c r="D366" s="21" t="s">
        <v>608</v>
      </c>
      <c r="E366" s="23">
        <v>1016.13</v>
      </c>
    </row>
    <row r="367" spans="1:5" x14ac:dyDescent="0.3">
      <c r="A367" s="20" t="s">
        <v>601</v>
      </c>
      <c r="B367" s="21" t="s">
        <v>602</v>
      </c>
      <c r="C367" s="22">
        <v>40848</v>
      </c>
      <c r="D367" s="21" t="s">
        <v>609</v>
      </c>
      <c r="E367" s="23">
        <v>1016.43</v>
      </c>
    </row>
    <row r="368" spans="1:5" x14ac:dyDescent="0.3">
      <c r="A368" s="20" t="s">
        <v>610</v>
      </c>
      <c r="B368" s="21" t="s">
        <v>602</v>
      </c>
      <c r="C368" s="22">
        <v>40848</v>
      </c>
      <c r="D368" s="21" t="s">
        <v>611</v>
      </c>
      <c r="E368" s="23">
        <v>1460.5</v>
      </c>
    </row>
    <row r="369" spans="1:5" x14ac:dyDescent="0.3">
      <c r="A369" s="20" t="s">
        <v>601</v>
      </c>
      <c r="B369" s="21" t="s">
        <v>602</v>
      </c>
      <c r="C369" s="22" t="s">
        <v>520</v>
      </c>
      <c r="D369" s="21" t="s">
        <v>612</v>
      </c>
      <c r="E369" s="23">
        <v>1016.5</v>
      </c>
    </row>
    <row r="370" spans="1:5" x14ac:dyDescent="0.3">
      <c r="A370" s="20" t="s">
        <v>601</v>
      </c>
      <c r="B370" s="21" t="s">
        <v>602</v>
      </c>
      <c r="C370" s="22" t="s">
        <v>520</v>
      </c>
      <c r="D370" s="21" t="s">
        <v>613</v>
      </c>
      <c r="E370" s="23">
        <v>1015.2</v>
      </c>
    </row>
    <row r="371" spans="1:5" x14ac:dyDescent="0.3">
      <c r="A371" s="20" t="s">
        <v>601</v>
      </c>
      <c r="B371" s="21" t="s">
        <v>602</v>
      </c>
      <c r="C371" s="22">
        <v>40848</v>
      </c>
      <c r="D371" s="21" t="s">
        <v>614</v>
      </c>
      <c r="E371" s="23">
        <v>1141.07</v>
      </c>
    </row>
    <row r="372" spans="1:5" x14ac:dyDescent="0.3">
      <c r="A372" s="20" t="s">
        <v>601</v>
      </c>
      <c r="B372" s="21" t="s">
        <v>602</v>
      </c>
      <c r="C372" s="22">
        <v>40874</v>
      </c>
      <c r="D372" s="21" t="s">
        <v>615</v>
      </c>
      <c r="E372" s="23">
        <v>1015.3</v>
      </c>
    </row>
    <row r="373" spans="1:5" x14ac:dyDescent="0.3">
      <c r="A373" s="20" t="s">
        <v>601</v>
      </c>
      <c r="B373" s="21" t="s">
        <v>602</v>
      </c>
      <c r="C373" s="22">
        <v>40864</v>
      </c>
      <c r="D373" s="21" t="s">
        <v>616</v>
      </c>
      <c r="E373" s="23">
        <v>1016.37</v>
      </c>
    </row>
    <row r="374" spans="1:5" x14ac:dyDescent="0.3">
      <c r="A374" s="20" t="s">
        <v>610</v>
      </c>
      <c r="B374" s="21" t="s">
        <v>602</v>
      </c>
      <c r="C374" s="22">
        <v>40852</v>
      </c>
      <c r="D374" s="21" t="s">
        <v>617</v>
      </c>
      <c r="E374" s="23">
        <v>1021.77</v>
      </c>
    </row>
    <row r="375" spans="1:5" x14ac:dyDescent="0.3">
      <c r="A375" s="20" t="s">
        <v>618</v>
      </c>
      <c r="B375" s="21" t="s">
        <v>619</v>
      </c>
      <c r="C375" s="22">
        <v>40864</v>
      </c>
      <c r="D375" s="21" t="s">
        <v>620</v>
      </c>
      <c r="E375" s="23">
        <v>1018.52</v>
      </c>
    </row>
    <row r="376" spans="1:5" x14ac:dyDescent="0.3">
      <c r="A376" s="20" t="s">
        <v>621</v>
      </c>
      <c r="B376" s="21" t="s">
        <v>622</v>
      </c>
      <c r="C376" s="22">
        <v>40873</v>
      </c>
      <c r="D376" s="21" t="s">
        <v>623</v>
      </c>
      <c r="E376" s="23">
        <v>1022.41</v>
      </c>
    </row>
    <row r="377" spans="1:5" x14ac:dyDescent="0.3">
      <c r="A377" s="20" t="s">
        <v>624</v>
      </c>
      <c r="B377" s="21" t="s">
        <v>625</v>
      </c>
      <c r="C377" s="22">
        <v>40853</v>
      </c>
      <c r="D377" s="21" t="s">
        <v>626</v>
      </c>
      <c r="E377" s="23">
        <v>1020.48</v>
      </c>
    </row>
    <row r="378" spans="1:5" x14ac:dyDescent="0.3">
      <c r="A378" s="20" t="s">
        <v>627</v>
      </c>
      <c r="B378" s="21" t="s">
        <v>628</v>
      </c>
      <c r="C378" s="22">
        <v>40857</v>
      </c>
      <c r="D378" s="21" t="s">
        <v>629</v>
      </c>
      <c r="E378" s="23">
        <v>1063.6300000000001</v>
      </c>
    </row>
    <row r="379" spans="1:5" x14ac:dyDescent="0.3">
      <c r="A379" s="20" t="s">
        <v>627</v>
      </c>
      <c r="B379" s="21" t="s">
        <v>628</v>
      </c>
      <c r="C379" s="22">
        <v>40848</v>
      </c>
      <c r="D379" s="21" t="s">
        <v>630</v>
      </c>
      <c r="E379" s="23">
        <v>1016.07</v>
      </c>
    </row>
    <row r="380" spans="1:5" x14ac:dyDescent="0.3">
      <c r="A380" s="20" t="s">
        <v>631</v>
      </c>
      <c r="B380" s="21" t="s">
        <v>632</v>
      </c>
      <c r="C380" s="22">
        <v>40852</v>
      </c>
      <c r="D380" s="21" t="s">
        <v>633</v>
      </c>
      <c r="E380" s="23">
        <v>1150</v>
      </c>
    </row>
    <row r="381" spans="1:5" x14ac:dyDescent="0.3">
      <c r="A381" s="20" t="s">
        <v>631</v>
      </c>
      <c r="B381" s="21" t="s">
        <v>632</v>
      </c>
      <c r="C381" s="22">
        <v>40852</v>
      </c>
      <c r="D381" s="21" t="s">
        <v>634</v>
      </c>
      <c r="E381" s="23">
        <v>3056.8199999999997</v>
      </c>
    </row>
    <row r="382" spans="1:5" x14ac:dyDescent="0.3">
      <c r="A382" s="20" t="s">
        <v>631</v>
      </c>
      <c r="B382" s="21" t="s">
        <v>632</v>
      </c>
      <c r="C382" s="22">
        <v>40848</v>
      </c>
      <c r="D382" s="21" t="s">
        <v>635</v>
      </c>
      <c r="E382" s="23">
        <v>1016</v>
      </c>
    </row>
    <row r="383" spans="1:5" x14ac:dyDescent="0.3">
      <c r="A383" s="20" t="s">
        <v>631</v>
      </c>
      <c r="B383" s="21" t="s">
        <v>632</v>
      </c>
      <c r="C383" s="22">
        <v>40848</v>
      </c>
      <c r="D383" s="21" t="s">
        <v>636</v>
      </c>
      <c r="E383" s="23">
        <v>1017.01</v>
      </c>
    </row>
    <row r="384" spans="1:5" x14ac:dyDescent="0.3">
      <c r="A384" s="20" t="s">
        <v>631</v>
      </c>
      <c r="B384" s="21" t="s">
        <v>632</v>
      </c>
      <c r="C384" s="22">
        <v>40848</v>
      </c>
      <c r="D384" s="21" t="s">
        <v>637</v>
      </c>
      <c r="E384" s="23">
        <v>1018.93</v>
      </c>
    </row>
    <row r="385" spans="1:5" x14ac:dyDescent="0.3">
      <c r="A385" s="20" t="s">
        <v>631</v>
      </c>
      <c r="B385" s="21" t="s">
        <v>632</v>
      </c>
      <c r="C385" s="22">
        <v>40848</v>
      </c>
      <c r="D385" s="21" t="s">
        <v>638</v>
      </c>
      <c r="E385" s="23">
        <v>1016.57</v>
      </c>
    </row>
    <row r="386" spans="1:5" x14ac:dyDescent="0.3">
      <c r="A386" s="20" t="s">
        <v>631</v>
      </c>
      <c r="B386" s="21" t="s">
        <v>632</v>
      </c>
      <c r="C386" s="22">
        <v>40848</v>
      </c>
      <c r="D386" s="21" t="s">
        <v>639</v>
      </c>
      <c r="E386" s="23">
        <v>1015.34</v>
      </c>
    </row>
    <row r="387" spans="1:5" x14ac:dyDescent="0.3">
      <c r="A387" s="20" t="s">
        <v>631</v>
      </c>
      <c r="B387" s="21" t="s">
        <v>632</v>
      </c>
      <c r="C387" s="22">
        <v>40848</v>
      </c>
      <c r="D387" s="21" t="s">
        <v>640</v>
      </c>
      <c r="E387" s="23">
        <v>1017.67</v>
      </c>
    </row>
    <row r="388" spans="1:5" x14ac:dyDescent="0.3">
      <c r="A388" s="20" t="s">
        <v>631</v>
      </c>
      <c r="B388" s="21" t="s">
        <v>632</v>
      </c>
      <c r="C388" s="22">
        <v>40854</v>
      </c>
      <c r="D388" s="21" t="s">
        <v>641</v>
      </c>
      <c r="E388" s="23">
        <v>1016.82</v>
      </c>
    </row>
    <row r="389" spans="1:5" x14ac:dyDescent="0.3">
      <c r="A389" s="20" t="s">
        <v>631</v>
      </c>
      <c r="B389" s="21" t="s">
        <v>632</v>
      </c>
      <c r="C389" s="22">
        <v>40850</v>
      </c>
      <c r="D389" s="21" t="s">
        <v>642</v>
      </c>
      <c r="E389" s="23">
        <v>1015.17</v>
      </c>
    </row>
    <row r="390" spans="1:5" x14ac:dyDescent="0.3">
      <c r="A390" s="20" t="s">
        <v>631</v>
      </c>
      <c r="B390" s="21" t="s">
        <v>632</v>
      </c>
      <c r="C390" s="22">
        <v>40861</v>
      </c>
      <c r="D390" s="21" t="s">
        <v>643</v>
      </c>
      <c r="E390" s="23">
        <v>1017.41</v>
      </c>
    </row>
    <row r="391" spans="1:5" x14ac:dyDescent="0.3">
      <c r="A391" s="20" t="s">
        <v>631</v>
      </c>
      <c r="B391" s="21" t="s">
        <v>632</v>
      </c>
      <c r="C391" s="22">
        <v>40858</v>
      </c>
      <c r="D391" s="21" t="s">
        <v>644</v>
      </c>
      <c r="E391" s="23">
        <v>1018.75</v>
      </c>
    </row>
    <row r="392" spans="1:5" x14ac:dyDescent="0.3">
      <c r="A392" s="20" t="s">
        <v>631</v>
      </c>
      <c r="B392" s="21" t="s">
        <v>632</v>
      </c>
      <c r="C392" s="22">
        <v>40861</v>
      </c>
      <c r="D392" s="21" t="s">
        <v>645</v>
      </c>
      <c r="E392" s="23">
        <v>1019.96</v>
      </c>
    </row>
    <row r="393" spans="1:5" x14ac:dyDescent="0.3">
      <c r="A393" s="20" t="s">
        <v>631</v>
      </c>
      <c r="B393" s="21" t="s">
        <v>632</v>
      </c>
      <c r="C393" s="22">
        <v>40861</v>
      </c>
      <c r="D393" s="21" t="s">
        <v>646</v>
      </c>
      <c r="E393" s="23">
        <v>1019.07</v>
      </c>
    </row>
    <row r="394" spans="1:5" x14ac:dyDescent="0.3">
      <c r="A394" s="20" t="s">
        <v>631</v>
      </c>
      <c r="B394" s="21" t="s">
        <v>632</v>
      </c>
      <c r="C394" s="22">
        <v>40856</v>
      </c>
      <c r="D394" s="21" t="s">
        <v>647</v>
      </c>
      <c r="E394" s="23">
        <v>1015.39</v>
      </c>
    </row>
    <row r="395" spans="1:5" x14ac:dyDescent="0.3">
      <c r="A395" s="20" t="s">
        <v>631</v>
      </c>
      <c r="B395" s="21" t="s">
        <v>632</v>
      </c>
      <c r="C395" s="22">
        <v>40868</v>
      </c>
      <c r="D395" s="21" t="s">
        <v>648</v>
      </c>
      <c r="E395" s="23">
        <v>1019.79</v>
      </c>
    </row>
    <row r="396" spans="1:5" x14ac:dyDescent="0.3">
      <c r="A396" s="20" t="s">
        <v>631</v>
      </c>
      <c r="B396" s="21" t="s">
        <v>632</v>
      </c>
      <c r="C396" s="22">
        <v>40868</v>
      </c>
      <c r="D396" s="21" t="s">
        <v>649</v>
      </c>
      <c r="E396" s="23">
        <v>1015.3</v>
      </c>
    </row>
    <row r="397" spans="1:5" x14ac:dyDescent="0.3">
      <c r="A397" s="20" t="s">
        <v>631</v>
      </c>
      <c r="B397" s="21" t="s">
        <v>632</v>
      </c>
      <c r="C397" s="22">
        <v>40875</v>
      </c>
      <c r="D397" s="21" t="s">
        <v>650</v>
      </c>
      <c r="E397" s="23">
        <v>1019.34</v>
      </c>
    </row>
    <row r="398" spans="1:5" x14ac:dyDescent="0.3">
      <c r="A398" s="20" t="s">
        <v>631</v>
      </c>
      <c r="B398" s="21" t="s">
        <v>632</v>
      </c>
      <c r="C398" s="22">
        <v>40875</v>
      </c>
      <c r="D398" s="21" t="s">
        <v>651</v>
      </c>
      <c r="E398" s="23">
        <v>1018.27</v>
      </c>
    </row>
    <row r="399" spans="1:5" x14ac:dyDescent="0.3">
      <c r="A399" s="20" t="s">
        <v>631</v>
      </c>
      <c r="B399" s="21" t="s">
        <v>632</v>
      </c>
      <c r="C399" s="22">
        <v>40873</v>
      </c>
      <c r="D399" s="21" t="s">
        <v>652</v>
      </c>
      <c r="E399" s="23">
        <v>1015.38</v>
      </c>
    </row>
    <row r="400" spans="1:5" x14ac:dyDescent="0.3">
      <c r="A400" s="20" t="s">
        <v>631</v>
      </c>
      <c r="B400" s="21" t="s">
        <v>632</v>
      </c>
      <c r="C400" s="22">
        <v>40870</v>
      </c>
      <c r="D400" s="21" t="s">
        <v>653</v>
      </c>
      <c r="E400" s="23">
        <v>1016.06</v>
      </c>
    </row>
    <row r="401" spans="1:5" x14ac:dyDescent="0.3">
      <c r="A401" s="20" t="s">
        <v>631</v>
      </c>
      <c r="B401" s="21" t="s">
        <v>632</v>
      </c>
      <c r="C401" s="22">
        <v>40875</v>
      </c>
      <c r="D401" s="21" t="s">
        <v>654</v>
      </c>
      <c r="E401" s="23">
        <v>1017.67</v>
      </c>
    </row>
    <row r="402" spans="1:5" x14ac:dyDescent="0.3">
      <c r="A402" s="20" t="s">
        <v>631</v>
      </c>
      <c r="B402" s="21" t="s">
        <v>632</v>
      </c>
      <c r="C402" s="22">
        <v>40848</v>
      </c>
      <c r="D402" s="21" t="s">
        <v>655</v>
      </c>
      <c r="E402" s="23">
        <v>1030.81</v>
      </c>
    </row>
    <row r="403" spans="1:5" x14ac:dyDescent="0.3">
      <c r="A403" s="20" t="s">
        <v>656</v>
      </c>
      <c r="B403" s="21" t="s">
        <v>657</v>
      </c>
      <c r="C403" s="22">
        <v>40850</v>
      </c>
      <c r="D403" s="21" t="s">
        <v>658</v>
      </c>
      <c r="E403" s="23">
        <v>1023.47</v>
      </c>
    </row>
    <row r="404" spans="1:5" x14ac:dyDescent="0.3">
      <c r="A404" s="20" t="s">
        <v>656</v>
      </c>
      <c r="B404" s="21" t="s">
        <v>657</v>
      </c>
      <c r="C404" s="22">
        <v>40850</v>
      </c>
      <c r="D404" s="21" t="s">
        <v>659</v>
      </c>
      <c r="E404" s="23">
        <v>1019.38</v>
      </c>
    </row>
    <row r="405" spans="1:5" x14ac:dyDescent="0.3">
      <c r="A405" s="20" t="s">
        <v>660</v>
      </c>
      <c r="B405" s="21" t="s">
        <v>661</v>
      </c>
      <c r="C405" s="22">
        <v>40848</v>
      </c>
      <c r="D405" s="21" t="s">
        <v>662</v>
      </c>
      <c r="E405" s="23">
        <v>1016.62</v>
      </c>
    </row>
    <row r="406" spans="1:5" x14ac:dyDescent="0.3">
      <c r="A406" s="20" t="s">
        <v>663</v>
      </c>
      <c r="B406" s="21" t="s">
        <v>664</v>
      </c>
      <c r="C406" s="22">
        <v>40871</v>
      </c>
      <c r="D406" s="21" t="s">
        <v>665</v>
      </c>
      <c r="E406" s="23">
        <v>1015.87</v>
      </c>
    </row>
    <row r="407" spans="1:5" x14ac:dyDescent="0.3">
      <c r="A407" s="20" t="s">
        <v>666</v>
      </c>
      <c r="B407" s="21" t="s">
        <v>667</v>
      </c>
      <c r="C407" s="22">
        <v>40849</v>
      </c>
      <c r="D407" s="21" t="s">
        <v>668</v>
      </c>
      <c r="E407" s="23">
        <v>1023.13</v>
      </c>
    </row>
    <row r="408" spans="1:5" x14ac:dyDescent="0.3">
      <c r="A408" s="20" t="s">
        <v>666</v>
      </c>
      <c r="B408" s="21" t="s">
        <v>667</v>
      </c>
      <c r="C408" s="22">
        <v>40866</v>
      </c>
      <c r="D408" s="21" t="s">
        <v>669</v>
      </c>
      <c r="E408" s="23">
        <v>1016.56</v>
      </c>
    </row>
    <row r="409" spans="1:5" x14ac:dyDescent="0.3">
      <c r="A409" s="20" t="s">
        <v>670</v>
      </c>
      <c r="B409" s="21" t="s">
        <v>671</v>
      </c>
      <c r="C409" s="22">
        <v>40869</v>
      </c>
      <c r="D409" s="21" t="s">
        <v>672</v>
      </c>
      <c r="E409" s="23">
        <v>1021.77</v>
      </c>
    </row>
    <row r="410" spans="1:5" x14ac:dyDescent="0.3">
      <c r="A410" s="20" t="s">
        <v>673</v>
      </c>
      <c r="B410" s="21" t="s">
        <v>674</v>
      </c>
      <c r="C410" s="22">
        <v>40852</v>
      </c>
      <c r="D410" s="21" t="s">
        <v>675</v>
      </c>
      <c r="E410" s="23">
        <v>1018.57</v>
      </c>
    </row>
    <row r="411" spans="1:5" x14ac:dyDescent="0.3">
      <c r="A411" s="20" t="s">
        <v>676</v>
      </c>
      <c r="B411" s="21" t="s">
        <v>677</v>
      </c>
      <c r="C411" s="22">
        <v>40860</v>
      </c>
      <c r="D411" s="21" t="s">
        <v>678</v>
      </c>
      <c r="E411" s="23">
        <v>1023.01</v>
      </c>
    </row>
    <row r="412" spans="1:5" x14ac:dyDescent="0.3">
      <c r="A412" s="20" t="s">
        <v>679</v>
      </c>
      <c r="B412" s="21" t="s">
        <v>680</v>
      </c>
      <c r="C412" s="22">
        <v>40857</v>
      </c>
      <c r="D412" s="21" t="s">
        <v>681</v>
      </c>
      <c r="E412" s="23">
        <v>1015.26</v>
      </c>
    </row>
    <row r="413" spans="1:5" x14ac:dyDescent="0.3">
      <c r="A413" s="20" t="s">
        <v>679</v>
      </c>
      <c r="B413" s="21" t="s">
        <v>680</v>
      </c>
      <c r="C413" s="22">
        <v>40857</v>
      </c>
      <c r="D413" s="21" t="s">
        <v>682</v>
      </c>
      <c r="E413" s="23">
        <v>1015.92</v>
      </c>
    </row>
    <row r="414" spans="1:5" x14ac:dyDescent="0.3">
      <c r="A414" s="20" t="s">
        <v>683</v>
      </c>
      <c r="B414" s="21" t="s">
        <v>684</v>
      </c>
      <c r="C414" s="22">
        <v>40853</v>
      </c>
      <c r="D414" s="21" t="s">
        <v>685</v>
      </c>
      <c r="E414" s="23">
        <v>1130.76</v>
      </c>
    </row>
    <row r="415" spans="1:5" x14ac:dyDescent="0.3">
      <c r="A415" s="20" t="s">
        <v>683</v>
      </c>
      <c r="B415" s="21" t="s">
        <v>684</v>
      </c>
      <c r="C415" s="22">
        <v>40853</v>
      </c>
      <c r="D415" s="21" t="s">
        <v>686</v>
      </c>
      <c r="E415" s="23">
        <v>1179.7</v>
      </c>
    </row>
    <row r="416" spans="1:5" x14ac:dyDescent="0.3">
      <c r="A416" s="20" t="s">
        <v>683</v>
      </c>
      <c r="B416" s="21" t="s">
        <v>684</v>
      </c>
      <c r="C416" s="22">
        <v>40853</v>
      </c>
      <c r="D416" s="21" t="s">
        <v>687</v>
      </c>
      <c r="E416" s="23">
        <v>1020.87</v>
      </c>
    </row>
    <row r="417" spans="1:5" x14ac:dyDescent="0.3">
      <c r="A417" s="20" t="s">
        <v>683</v>
      </c>
      <c r="B417" s="21" t="s">
        <v>684</v>
      </c>
      <c r="C417" s="22">
        <v>40822</v>
      </c>
      <c r="D417" s="21" t="s">
        <v>688</v>
      </c>
      <c r="E417" s="23">
        <v>1024.5</v>
      </c>
    </row>
    <row r="418" spans="1:5" x14ac:dyDescent="0.3">
      <c r="A418" s="20" t="s">
        <v>683</v>
      </c>
      <c r="B418" s="21" t="s">
        <v>684</v>
      </c>
      <c r="C418" s="22">
        <v>40822</v>
      </c>
      <c r="D418" s="21" t="s">
        <v>689</v>
      </c>
      <c r="E418" s="23">
        <v>1020.3</v>
      </c>
    </row>
    <row r="419" spans="1:5" x14ac:dyDescent="0.3">
      <c r="A419" s="20" t="s">
        <v>683</v>
      </c>
      <c r="B419" s="21" t="s">
        <v>684</v>
      </c>
      <c r="C419" s="22">
        <v>40822</v>
      </c>
      <c r="D419" s="21" t="s">
        <v>690</v>
      </c>
      <c r="E419" s="23">
        <v>1026.21</v>
      </c>
    </row>
    <row r="420" spans="1:5" x14ac:dyDescent="0.3">
      <c r="A420" s="20" t="s">
        <v>683</v>
      </c>
      <c r="B420" s="21" t="s">
        <v>684</v>
      </c>
      <c r="C420" s="22">
        <v>40822</v>
      </c>
      <c r="D420" s="21" t="s">
        <v>691</v>
      </c>
      <c r="E420" s="23">
        <v>1016.86</v>
      </c>
    </row>
    <row r="421" spans="1:5" x14ac:dyDescent="0.3">
      <c r="A421" s="20" t="s">
        <v>683</v>
      </c>
      <c r="B421" s="21" t="s">
        <v>684</v>
      </c>
      <c r="C421" s="22">
        <v>40822</v>
      </c>
      <c r="D421" s="21" t="s">
        <v>692</v>
      </c>
      <c r="E421" s="23">
        <v>1023.46</v>
      </c>
    </row>
    <row r="422" spans="1:5" x14ac:dyDescent="0.3">
      <c r="A422" s="20" t="s">
        <v>683</v>
      </c>
      <c r="B422" s="21" t="s">
        <v>684</v>
      </c>
      <c r="C422" s="22">
        <v>40822</v>
      </c>
      <c r="D422" s="21" t="s">
        <v>693</v>
      </c>
      <c r="E422" s="23">
        <v>1017.12</v>
      </c>
    </row>
    <row r="423" spans="1:5" x14ac:dyDescent="0.3">
      <c r="A423" s="20" t="s">
        <v>683</v>
      </c>
      <c r="B423" s="21" t="s">
        <v>684</v>
      </c>
      <c r="C423" s="22">
        <v>40828</v>
      </c>
      <c r="D423" s="21" t="s">
        <v>694</v>
      </c>
      <c r="E423" s="23">
        <v>1018.95</v>
      </c>
    </row>
    <row r="424" spans="1:5" x14ac:dyDescent="0.3">
      <c r="A424" s="20" t="s">
        <v>683</v>
      </c>
      <c r="B424" s="21" t="s">
        <v>684</v>
      </c>
      <c r="C424" s="22">
        <v>40828</v>
      </c>
      <c r="D424" s="21" t="s">
        <v>695</v>
      </c>
      <c r="E424" s="23">
        <v>1024.98</v>
      </c>
    </row>
    <row r="425" spans="1:5" x14ac:dyDescent="0.3">
      <c r="A425" s="20" t="s">
        <v>683</v>
      </c>
      <c r="B425" s="21" t="s">
        <v>684</v>
      </c>
      <c r="C425" s="22">
        <v>40833</v>
      </c>
      <c r="D425" s="21" t="s">
        <v>696</v>
      </c>
      <c r="E425" s="23">
        <v>1024.3399999999999</v>
      </c>
    </row>
    <row r="426" spans="1:5" x14ac:dyDescent="0.3">
      <c r="A426" s="20" t="s">
        <v>683</v>
      </c>
      <c r="B426" s="21" t="s">
        <v>684</v>
      </c>
      <c r="C426" s="22">
        <v>40833</v>
      </c>
      <c r="D426" s="21" t="s">
        <v>697</v>
      </c>
      <c r="E426" s="23">
        <v>1017.48</v>
      </c>
    </row>
    <row r="427" spans="1:5" x14ac:dyDescent="0.3">
      <c r="A427" s="20" t="s">
        <v>683</v>
      </c>
      <c r="B427" s="21" t="s">
        <v>684</v>
      </c>
      <c r="C427" s="22">
        <v>40833</v>
      </c>
      <c r="D427" s="21" t="s">
        <v>698</v>
      </c>
      <c r="E427" s="23">
        <v>1016.97</v>
      </c>
    </row>
    <row r="428" spans="1:5" x14ac:dyDescent="0.3">
      <c r="A428" s="20" t="s">
        <v>683</v>
      </c>
      <c r="B428" s="21" t="s">
        <v>684</v>
      </c>
      <c r="C428" s="22">
        <v>40836</v>
      </c>
      <c r="D428" s="21" t="s">
        <v>699</v>
      </c>
      <c r="E428" s="23">
        <v>1025.96</v>
      </c>
    </row>
    <row r="429" spans="1:5" x14ac:dyDescent="0.3">
      <c r="A429" s="20" t="s">
        <v>683</v>
      </c>
      <c r="B429" s="21" t="s">
        <v>684</v>
      </c>
      <c r="C429" s="22">
        <v>40836</v>
      </c>
      <c r="D429" s="21" t="s">
        <v>700</v>
      </c>
      <c r="E429" s="23">
        <v>1017.57</v>
      </c>
    </row>
    <row r="430" spans="1:5" x14ac:dyDescent="0.3">
      <c r="A430" s="20" t="s">
        <v>683</v>
      </c>
      <c r="B430" s="21" t="s">
        <v>684</v>
      </c>
      <c r="C430" s="22">
        <v>40830</v>
      </c>
      <c r="D430" s="21" t="s">
        <v>701</v>
      </c>
      <c r="E430" s="23">
        <v>1029.06</v>
      </c>
    </row>
    <row r="431" spans="1:5" x14ac:dyDescent="0.3">
      <c r="A431" s="20" t="s">
        <v>683</v>
      </c>
      <c r="B431" s="21" t="s">
        <v>684</v>
      </c>
      <c r="C431" s="22">
        <v>40843</v>
      </c>
      <c r="D431" s="21" t="s">
        <v>702</v>
      </c>
      <c r="E431" s="23">
        <v>1018.73</v>
      </c>
    </row>
    <row r="432" spans="1:5" x14ac:dyDescent="0.3">
      <c r="A432" s="20" t="s">
        <v>683</v>
      </c>
      <c r="B432" s="21" t="s">
        <v>684</v>
      </c>
      <c r="C432" s="22">
        <v>40843</v>
      </c>
      <c r="D432" s="21" t="s">
        <v>703</v>
      </c>
      <c r="E432" s="23">
        <v>1023.38</v>
      </c>
    </row>
    <row r="433" spans="1:5" x14ac:dyDescent="0.3">
      <c r="A433" s="20" t="s">
        <v>683</v>
      </c>
      <c r="B433" s="21" t="s">
        <v>684</v>
      </c>
      <c r="C433" s="22">
        <v>40843</v>
      </c>
      <c r="D433" s="21" t="s">
        <v>704</v>
      </c>
      <c r="E433" s="23">
        <v>1019.08</v>
      </c>
    </row>
    <row r="434" spans="1:5" x14ac:dyDescent="0.3">
      <c r="A434" s="20" t="s">
        <v>683</v>
      </c>
      <c r="B434" s="21" t="s">
        <v>684</v>
      </c>
      <c r="C434" s="22">
        <v>40843</v>
      </c>
      <c r="D434" s="21" t="s">
        <v>705</v>
      </c>
      <c r="E434" s="23">
        <v>1016.86</v>
      </c>
    </row>
    <row r="435" spans="1:5" x14ac:dyDescent="0.3">
      <c r="A435" s="20" t="s">
        <v>683</v>
      </c>
      <c r="B435" s="21" t="s">
        <v>684</v>
      </c>
      <c r="C435" s="22">
        <v>40843</v>
      </c>
      <c r="D435" s="21" t="s">
        <v>706</v>
      </c>
      <c r="E435" s="23">
        <v>1019.39</v>
      </c>
    </row>
    <row r="436" spans="1:5" x14ac:dyDescent="0.3">
      <c r="A436" s="20" t="s">
        <v>683</v>
      </c>
      <c r="B436" s="21" t="s">
        <v>684</v>
      </c>
      <c r="C436" s="22">
        <v>40843</v>
      </c>
      <c r="D436" s="21" t="s">
        <v>707</v>
      </c>
      <c r="E436" s="23">
        <v>1017.54</v>
      </c>
    </row>
    <row r="437" spans="1:5" x14ac:dyDescent="0.3">
      <c r="A437" s="20" t="s">
        <v>708</v>
      </c>
      <c r="B437" s="21" t="s">
        <v>709</v>
      </c>
      <c r="C437" s="22">
        <v>40817</v>
      </c>
      <c r="D437" s="21" t="s">
        <v>710</v>
      </c>
      <c r="E437" s="23">
        <v>1018.57</v>
      </c>
    </row>
    <row r="438" spans="1:5" x14ac:dyDescent="0.3">
      <c r="A438" s="20" t="s">
        <v>708</v>
      </c>
      <c r="B438" s="21" t="s">
        <v>709</v>
      </c>
      <c r="C438" s="22">
        <v>40819</v>
      </c>
      <c r="D438" s="21" t="s">
        <v>711</v>
      </c>
      <c r="E438" s="23">
        <v>1016.18</v>
      </c>
    </row>
    <row r="439" spans="1:5" x14ac:dyDescent="0.3">
      <c r="A439" s="20" t="s">
        <v>712</v>
      </c>
      <c r="B439" s="21" t="s">
        <v>713</v>
      </c>
      <c r="C439" s="22">
        <v>40826</v>
      </c>
      <c r="D439" s="21" t="s">
        <v>714</v>
      </c>
      <c r="E439" s="23">
        <v>1016.92</v>
      </c>
    </row>
    <row r="440" spans="1:5" x14ac:dyDescent="0.3">
      <c r="A440" s="20" t="s">
        <v>715</v>
      </c>
      <c r="B440" s="21" t="s">
        <v>716</v>
      </c>
      <c r="C440" s="22">
        <v>40819</v>
      </c>
      <c r="D440" s="21" t="s">
        <v>717</v>
      </c>
      <c r="E440" s="23">
        <v>1019.14</v>
      </c>
    </row>
    <row r="441" spans="1:5" x14ac:dyDescent="0.3">
      <c r="A441" s="20" t="s">
        <v>718</v>
      </c>
      <c r="B441" s="21" t="s">
        <v>719</v>
      </c>
      <c r="C441" s="22">
        <v>40817</v>
      </c>
      <c r="D441" s="21" t="s">
        <v>720</v>
      </c>
      <c r="E441" s="23">
        <v>1028.82</v>
      </c>
    </row>
    <row r="442" spans="1:5" x14ac:dyDescent="0.3">
      <c r="A442" s="20" t="s">
        <v>718</v>
      </c>
      <c r="B442" s="21" t="s">
        <v>719</v>
      </c>
      <c r="C442" s="22">
        <v>40827</v>
      </c>
      <c r="D442" s="21" t="s">
        <v>721</v>
      </c>
      <c r="E442" s="23">
        <v>1054.3599999999999</v>
      </c>
    </row>
    <row r="443" spans="1:5" x14ac:dyDescent="0.3">
      <c r="A443" s="20" t="s">
        <v>718</v>
      </c>
      <c r="B443" s="21" t="s">
        <v>719</v>
      </c>
      <c r="C443" s="22">
        <v>40825</v>
      </c>
      <c r="D443" s="21" t="s">
        <v>722</v>
      </c>
      <c r="E443" s="23">
        <v>1358.08</v>
      </c>
    </row>
    <row r="444" spans="1:5" x14ac:dyDescent="0.3">
      <c r="A444" s="20" t="s">
        <v>723</v>
      </c>
      <c r="B444" s="21" t="s">
        <v>724</v>
      </c>
      <c r="C444" s="22">
        <v>40840</v>
      </c>
      <c r="D444" s="21" t="s">
        <v>725</v>
      </c>
      <c r="E444" s="23">
        <v>1028.1199999999999</v>
      </c>
    </row>
    <row r="445" spans="1:5" x14ac:dyDescent="0.3">
      <c r="A445" s="20" t="s">
        <v>726</v>
      </c>
      <c r="B445" s="21" t="s">
        <v>727</v>
      </c>
      <c r="C445" s="22">
        <v>40825</v>
      </c>
      <c r="D445" s="21" t="s">
        <v>728</v>
      </c>
      <c r="E445" s="23">
        <v>1076.79</v>
      </c>
    </row>
    <row r="446" spans="1:5" x14ac:dyDescent="0.3">
      <c r="A446" s="20" t="s">
        <v>729</v>
      </c>
      <c r="B446" s="21" t="s">
        <v>730</v>
      </c>
      <c r="C446" s="22">
        <v>40817</v>
      </c>
      <c r="D446" s="21" t="s">
        <v>731</v>
      </c>
      <c r="E446" s="23">
        <v>1023.4</v>
      </c>
    </row>
    <row r="447" spans="1:5" x14ac:dyDescent="0.3">
      <c r="A447" s="20" t="s">
        <v>729</v>
      </c>
      <c r="B447" s="21" t="s">
        <v>730</v>
      </c>
      <c r="C447" s="22">
        <v>40818</v>
      </c>
      <c r="D447" s="21" t="s">
        <v>732</v>
      </c>
      <c r="E447" s="23">
        <v>1019.26</v>
      </c>
    </row>
    <row r="448" spans="1:5" x14ac:dyDescent="0.3">
      <c r="A448" s="20" t="s">
        <v>726</v>
      </c>
      <c r="B448" s="21" t="s">
        <v>727</v>
      </c>
      <c r="C448" s="22">
        <v>40820</v>
      </c>
      <c r="D448" s="21" t="s">
        <v>733</v>
      </c>
      <c r="E448" s="23">
        <v>1016.3</v>
      </c>
    </row>
    <row r="449" spans="1:5" x14ac:dyDescent="0.3">
      <c r="A449" s="20" t="s">
        <v>734</v>
      </c>
      <c r="B449" s="21" t="s">
        <v>735</v>
      </c>
      <c r="C449" s="22">
        <v>40834</v>
      </c>
      <c r="D449" s="21" t="s">
        <v>736</v>
      </c>
      <c r="E449" s="23">
        <v>1437.74</v>
      </c>
    </row>
    <row r="450" spans="1:5" x14ac:dyDescent="0.3">
      <c r="A450" s="20" t="s">
        <v>734</v>
      </c>
      <c r="B450" s="21" t="s">
        <v>735</v>
      </c>
      <c r="C450" s="22">
        <v>40845</v>
      </c>
      <c r="D450" s="21" t="s">
        <v>737</v>
      </c>
      <c r="E450" s="23">
        <v>1023.15</v>
      </c>
    </row>
    <row r="451" spans="1:5" x14ac:dyDescent="0.3">
      <c r="A451" s="20" t="s">
        <v>734</v>
      </c>
      <c r="B451" s="21" t="s">
        <v>735</v>
      </c>
      <c r="C451" s="22">
        <v>40845</v>
      </c>
      <c r="D451" s="21" t="s">
        <v>738</v>
      </c>
      <c r="E451" s="23">
        <v>1025.31</v>
      </c>
    </row>
    <row r="452" spans="1:5" x14ac:dyDescent="0.3">
      <c r="A452" s="20" t="s">
        <v>734</v>
      </c>
      <c r="B452" s="21" t="s">
        <v>735</v>
      </c>
      <c r="C452" s="22">
        <v>40845</v>
      </c>
      <c r="D452" s="21" t="s">
        <v>739</v>
      </c>
      <c r="E452" s="23">
        <v>1023.15</v>
      </c>
    </row>
    <row r="453" spans="1:5" x14ac:dyDescent="0.3">
      <c r="A453" s="20" t="s">
        <v>734</v>
      </c>
      <c r="B453" s="21" t="s">
        <v>735</v>
      </c>
      <c r="C453" s="22">
        <v>40845</v>
      </c>
      <c r="D453" s="21" t="s">
        <v>740</v>
      </c>
      <c r="E453" s="23">
        <v>1495.38</v>
      </c>
    </row>
    <row r="454" spans="1:5" x14ac:dyDescent="0.3">
      <c r="A454" s="20" t="s">
        <v>734</v>
      </c>
      <c r="B454" s="21" t="s">
        <v>735</v>
      </c>
      <c r="C454" s="22">
        <v>40826</v>
      </c>
      <c r="D454" s="21" t="s">
        <v>741</v>
      </c>
      <c r="E454" s="23">
        <v>8423.5499999999993</v>
      </c>
    </row>
    <row r="455" spans="1:5" x14ac:dyDescent="0.3">
      <c r="A455" s="20" t="s">
        <v>734</v>
      </c>
      <c r="B455" s="21" t="s">
        <v>735</v>
      </c>
      <c r="C455" s="22">
        <v>40826</v>
      </c>
      <c r="D455" s="21" t="s">
        <v>742</v>
      </c>
      <c r="E455" s="23">
        <v>1070.04</v>
      </c>
    </row>
    <row r="456" spans="1:5" x14ac:dyDescent="0.3">
      <c r="A456" s="20" t="s">
        <v>734</v>
      </c>
      <c r="B456" s="21" t="s">
        <v>735</v>
      </c>
      <c r="C456" s="22">
        <v>40826</v>
      </c>
      <c r="D456" s="21" t="s">
        <v>743</v>
      </c>
      <c r="E456" s="23">
        <v>6723.37</v>
      </c>
    </row>
    <row r="457" spans="1:5" x14ac:dyDescent="0.3">
      <c r="A457" s="20" t="s">
        <v>734</v>
      </c>
      <c r="B457" s="21" t="s">
        <v>735</v>
      </c>
      <c r="C457" s="22">
        <v>40834</v>
      </c>
      <c r="D457" s="21" t="s">
        <v>744</v>
      </c>
      <c r="E457" s="23">
        <v>8872.49</v>
      </c>
    </row>
    <row r="458" spans="1:5" x14ac:dyDescent="0.3">
      <c r="A458" s="20" t="s">
        <v>734</v>
      </c>
      <c r="B458" s="21" t="s">
        <v>735</v>
      </c>
      <c r="C458" s="22">
        <v>40838</v>
      </c>
      <c r="D458" s="21" t="s">
        <v>745</v>
      </c>
      <c r="E458" s="23">
        <v>11168.66</v>
      </c>
    </row>
    <row r="459" spans="1:5" x14ac:dyDescent="0.3">
      <c r="A459" s="20" t="s">
        <v>734</v>
      </c>
      <c r="B459" s="21" t="s">
        <v>735</v>
      </c>
      <c r="C459" s="22">
        <v>40839</v>
      </c>
      <c r="D459" s="21" t="s">
        <v>746</v>
      </c>
      <c r="E459" s="23">
        <v>4682.0200000000004</v>
      </c>
    </row>
    <row r="460" spans="1:5" x14ac:dyDescent="0.3">
      <c r="A460" s="20" t="s">
        <v>734</v>
      </c>
      <c r="B460" s="21" t="s">
        <v>735</v>
      </c>
      <c r="C460" s="22">
        <v>40840</v>
      </c>
      <c r="D460" s="21" t="s">
        <v>747</v>
      </c>
      <c r="E460" s="23">
        <v>10751.71</v>
      </c>
    </row>
    <row r="461" spans="1:5" x14ac:dyDescent="0.3">
      <c r="A461" s="20" t="s">
        <v>734</v>
      </c>
      <c r="B461" s="21" t="s">
        <v>735</v>
      </c>
      <c r="C461" s="22">
        <v>40840</v>
      </c>
      <c r="D461" s="21" t="s">
        <v>748</v>
      </c>
      <c r="E461" s="23">
        <v>9551.91</v>
      </c>
    </row>
    <row r="462" spans="1:5" x14ac:dyDescent="0.3">
      <c r="A462" s="20" t="s">
        <v>734</v>
      </c>
      <c r="B462" s="21" t="s">
        <v>735</v>
      </c>
      <c r="C462" s="22">
        <v>40841</v>
      </c>
      <c r="D462" s="21" t="s">
        <v>749</v>
      </c>
      <c r="E462" s="23">
        <v>4462.37</v>
      </c>
    </row>
    <row r="463" spans="1:5" x14ac:dyDescent="0.3">
      <c r="A463" s="20" t="s">
        <v>734</v>
      </c>
      <c r="B463" s="21" t="s">
        <v>735</v>
      </c>
      <c r="C463" s="22">
        <v>40841</v>
      </c>
      <c r="D463" s="21" t="s">
        <v>750</v>
      </c>
      <c r="E463" s="23">
        <v>1669.15</v>
      </c>
    </row>
    <row r="464" spans="1:5" x14ac:dyDescent="0.3">
      <c r="A464" s="20" t="s">
        <v>734</v>
      </c>
      <c r="B464" s="21" t="s">
        <v>735</v>
      </c>
      <c r="C464" s="22">
        <v>40817</v>
      </c>
      <c r="D464" s="21" t="s">
        <v>751</v>
      </c>
      <c r="E464" s="23">
        <v>1057.57</v>
      </c>
    </row>
    <row r="465" spans="1:5" x14ac:dyDescent="0.3">
      <c r="A465" s="20" t="s">
        <v>734</v>
      </c>
      <c r="B465" s="21" t="s">
        <v>735</v>
      </c>
      <c r="C465" s="22">
        <v>40834</v>
      </c>
      <c r="D465" s="21" t="s">
        <v>752</v>
      </c>
      <c r="E465" s="23">
        <v>1024.1099999999999</v>
      </c>
    </row>
    <row r="466" spans="1:5" x14ac:dyDescent="0.3">
      <c r="A466" s="20" t="s">
        <v>753</v>
      </c>
      <c r="B466" s="21" t="s">
        <v>754</v>
      </c>
      <c r="C466" s="22">
        <v>40819</v>
      </c>
      <c r="D466" s="21" t="s">
        <v>755</v>
      </c>
      <c r="E466" s="23">
        <v>1034.1099999999999</v>
      </c>
    </row>
    <row r="467" spans="1:5" x14ac:dyDescent="0.3">
      <c r="A467" s="20" t="s">
        <v>753</v>
      </c>
      <c r="B467" s="21" t="s">
        <v>754</v>
      </c>
      <c r="C467" s="22">
        <v>40831</v>
      </c>
      <c r="D467" s="21" t="s">
        <v>756</v>
      </c>
      <c r="E467" s="23">
        <v>1034.1099999999999</v>
      </c>
    </row>
    <row r="468" spans="1:5" x14ac:dyDescent="0.3">
      <c r="A468" s="20" t="s">
        <v>753</v>
      </c>
      <c r="B468" s="21" t="s">
        <v>754</v>
      </c>
      <c r="C468" s="22">
        <v>40839</v>
      </c>
      <c r="D468" s="21" t="s">
        <v>757</v>
      </c>
      <c r="E468" s="23">
        <v>1022.2</v>
      </c>
    </row>
    <row r="469" spans="1:5" x14ac:dyDescent="0.3">
      <c r="A469" s="20" t="s">
        <v>753</v>
      </c>
      <c r="B469" s="21" t="s">
        <v>754</v>
      </c>
      <c r="C469" s="22">
        <v>40841</v>
      </c>
      <c r="D469" s="21" t="s">
        <v>758</v>
      </c>
      <c r="E469" s="23">
        <v>1017.3</v>
      </c>
    </row>
    <row r="470" spans="1:5" x14ac:dyDescent="0.3">
      <c r="A470" s="20" t="s">
        <v>759</v>
      </c>
      <c r="B470" s="21" t="s">
        <v>760</v>
      </c>
      <c r="C470" s="22">
        <v>40833</v>
      </c>
      <c r="D470" s="21" t="s">
        <v>761</v>
      </c>
      <c r="E470" s="23">
        <v>1018.11</v>
      </c>
    </row>
    <row r="471" spans="1:5" x14ac:dyDescent="0.3">
      <c r="A471" s="20" t="s">
        <v>759</v>
      </c>
      <c r="B471" s="21" t="s">
        <v>760</v>
      </c>
      <c r="C471" s="22">
        <v>40834</v>
      </c>
      <c r="D471" s="21" t="s">
        <v>762</v>
      </c>
      <c r="E471" s="23">
        <v>1035.75</v>
      </c>
    </row>
    <row r="472" spans="1:5" x14ac:dyDescent="0.3">
      <c r="A472" s="20" t="s">
        <v>763</v>
      </c>
      <c r="B472" s="21" t="s">
        <v>764</v>
      </c>
      <c r="C472" s="22">
        <v>40833</v>
      </c>
      <c r="D472" s="21" t="s">
        <v>765</v>
      </c>
      <c r="E472" s="23">
        <v>1015.68</v>
      </c>
    </row>
    <row r="473" spans="1:5" x14ac:dyDescent="0.3">
      <c r="A473" s="20" t="s">
        <v>766</v>
      </c>
      <c r="B473" s="21" t="s">
        <v>767</v>
      </c>
      <c r="C473" s="22">
        <v>40828</v>
      </c>
      <c r="D473" s="21" t="s">
        <v>768</v>
      </c>
      <c r="E473" s="23">
        <v>1020.7</v>
      </c>
    </row>
    <row r="474" spans="1:5" x14ac:dyDescent="0.3">
      <c r="A474" s="20" t="s">
        <v>769</v>
      </c>
      <c r="B474" s="21" t="s">
        <v>770</v>
      </c>
      <c r="C474" s="22">
        <v>40826</v>
      </c>
      <c r="D474" s="21" t="s">
        <v>771</v>
      </c>
      <c r="E474" s="23">
        <v>1016.87</v>
      </c>
    </row>
    <row r="475" spans="1:5" x14ac:dyDescent="0.3">
      <c r="A475" s="20" t="s">
        <v>769</v>
      </c>
      <c r="B475" s="21" t="s">
        <v>770</v>
      </c>
      <c r="C475" s="22">
        <v>40831</v>
      </c>
      <c r="D475" s="21" t="s">
        <v>772</v>
      </c>
      <c r="E475" s="23">
        <v>1026.98</v>
      </c>
    </row>
    <row r="476" spans="1:5" x14ac:dyDescent="0.3">
      <c r="A476" s="20" t="s">
        <v>769</v>
      </c>
      <c r="B476" s="21" t="s">
        <v>770</v>
      </c>
      <c r="C476" s="22">
        <v>40831</v>
      </c>
      <c r="D476" s="21" t="s">
        <v>773</v>
      </c>
      <c r="E476" s="23">
        <v>1018</v>
      </c>
    </row>
    <row r="477" spans="1:5" x14ac:dyDescent="0.3">
      <c r="A477" s="20" t="s">
        <v>769</v>
      </c>
      <c r="B477" s="21" t="s">
        <v>770</v>
      </c>
      <c r="C477" s="22">
        <v>40834</v>
      </c>
      <c r="D477" s="21" t="s">
        <v>774</v>
      </c>
      <c r="E477" s="23">
        <v>1040.21</v>
      </c>
    </row>
    <row r="478" spans="1:5" x14ac:dyDescent="0.3">
      <c r="A478" s="20" t="s">
        <v>769</v>
      </c>
      <c r="B478" s="21" t="s">
        <v>770</v>
      </c>
      <c r="C478" s="22">
        <v>40836</v>
      </c>
      <c r="D478" s="21" t="s">
        <v>775</v>
      </c>
      <c r="E478" s="23">
        <v>1108</v>
      </c>
    </row>
    <row r="479" spans="1:5" x14ac:dyDescent="0.3">
      <c r="A479" s="20" t="s">
        <v>776</v>
      </c>
      <c r="B479" s="21" t="s">
        <v>777</v>
      </c>
      <c r="C479" s="22">
        <v>40820</v>
      </c>
      <c r="D479" s="21" t="s">
        <v>778</v>
      </c>
      <c r="E479" s="23">
        <v>1018.2</v>
      </c>
    </row>
    <row r="480" spans="1:5" x14ac:dyDescent="0.3">
      <c r="A480" s="20" t="s">
        <v>776</v>
      </c>
      <c r="B480" s="21" t="s">
        <v>777</v>
      </c>
      <c r="C480" s="22">
        <v>40841</v>
      </c>
      <c r="D480" s="21" t="s">
        <v>779</v>
      </c>
      <c r="E480" s="23">
        <v>1016.12</v>
      </c>
    </row>
    <row r="481" spans="1:5" x14ac:dyDescent="0.3">
      <c r="A481" s="20" t="s">
        <v>780</v>
      </c>
      <c r="B481" s="21" t="s">
        <v>781</v>
      </c>
      <c r="C481" s="22">
        <v>40826</v>
      </c>
      <c r="D481" s="21" t="s">
        <v>782</v>
      </c>
      <c r="E481" s="23">
        <v>1018.2</v>
      </c>
    </row>
    <row r="482" spans="1:5" x14ac:dyDescent="0.3">
      <c r="A482" s="20" t="s">
        <v>783</v>
      </c>
      <c r="B482" s="21" t="s">
        <v>784</v>
      </c>
      <c r="C482" s="22">
        <v>40839</v>
      </c>
      <c r="D482" s="21" t="s">
        <v>785</v>
      </c>
      <c r="E482" s="23">
        <v>1016.53</v>
      </c>
    </row>
    <row r="483" spans="1:5" x14ac:dyDescent="0.3">
      <c r="A483" s="20" t="s">
        <v>786</v>
      </c>
      <c r="B483" s="21" t="s">
        <v>787</v>
      </c>
      <c r="C483" s="22">
        <v>40817</v>
      </c>
      <c r="D483" s="21" t="s">
        <v>788</v>
      </c>
      <c r="E483" s="23">
        <v>1018.52</v>
      </c>
    </row>
    <row r="484" spans="1:5" x14ac:dyDescent="0.3">
      <c r="A484" s="20" t="s">
        <v>789</v>
      </c>
      <c r="B484" s="21" t="s">
        <v>790</v>
      </c>
      <c r="C484" s="22">
        <v>40822</v>
      </c>
      <c r="D484" s="21" t="s">
        <v>791</v>
      </c>
      <c r="E484" s="23">
        <v>1019.31</v>
      </c>
    </row>
    <row r="485" spans="1:5" x14ac:dyDescent="0.3">
      <c r="A485" s="20" t="s">
        <v>789</v>
      </c>
      <c r="B485" s="21" t="s">
        <v>790</v>
      </c>
      <c r="C485" s="22">
        <v>40821</v>
      </c>
      <c r="D485" s="21" t="s">
        <v>792</v>
      </c>
      <c r="E485" s="23">
        <v>1028.81</v>
      </c>
    </row>
    <row r="486" spans="1:5" x14ac:dyDescent="0.3">
      <c r="A486" s="20" t="s">
        <v>793</v>
      </c>
      <c r="B486" s="21" t="s">
        <v>794</v>
      </c>
      <c r="C486" s="22">
        <v>40828</v>
      </c>
      <c r="D486" s="21" t="s">
        <v>795</v>
      </c>
      <c r="E486" s="23">
        <v>1023.28</v>
      </c>
    </row>
    <row r="487" spans="1:5" x14ac:dyDescent="0.3">
      <c r="A487" s="20" t="s">
        <v>796</v>
      </c>
      <c r="B487" s="21" t="s">
        <v>797</v>
      </c>
      <c r="C487" s="22">
        <v>40826</v>
      </c>
      <c r="D487" s="21" t="s">
        <v>798</v>
      </c>
      <c r="E487" s="23">
        <v>1022.2</v>
      </c>
    </row>
    <row r="488" spans="1:5" x14ac:dyDescent="0.3">
      <c r="A488" s="20" t="s">
        <v>796</v>
      </c>
      <c r="B488" s="21" t="s">
        <v>797</v>
      </c>
      <c r="C488" s="22">
        <v>40842</v>
      </c>
      <c r="D488" s="21" t="s">
        <v>799</v>
      </c>
      <c r="E488" s="23">
        <v>1018.84</v>
      </c>
    </row>
    <row r="489" spans="1:5" x14ac:dyDescent="0.3">
      <c r="A489" s="20" t="s">
        <v>796</v>
      </c>
      <c r="B489" s="21" t="s">
        <v>797</v>
      </c>
      <c r="C489" s="22">
        <v>40843</v>
      </c>
      <c r="D489" s="21" t="s">
        <v>800</v>
      </c>
      <c r="E489" s="23">
        <v>1273.03</v>
      </c>
    </row>
    <row r="490" spans="1:5" x14ac:dyDescent="0.3">
      <c r="A490" s="20" t="s">
        <v>801</v>
      </c>
      <c r="B490" s="21" t="s">
        <v>802</v>
      </c>
      <c r="C490" s="22">
        <v>40831</v>
      </c>
      <c r="D490" s="21" t="s">
        <v>803</v>
      </c>
      <c r="E490" s="23">
        <v>1018.84</v>
      </c>
    </row>
    <row r="491" spans="1:5" x14ac:dyDescent="0.3">
      <c r="A491" s="20" t="s">
        <v>804</v>
      </c>
      <c r="B491" s="21" t="s">
        <v>805</v>
      </c>
      <c r="C491" s="22">
        <v>40841</v>
      </c>
      <c r="D491" s="21" t="s">
        <v>806</v>
      </c>
      <c r="E491" s="23">
        <v>1020.04</v>
      </c>
    </row>
    <row r="492" spans="1:5" x14ac:dyDescent="0.3">
      <c r="A492" s="20" t="s">
        <v>807</v>
      </c>
      <c r="B492" s="21" t="s">
        <v>808</v>
      </c>
      <c r="C492" s="22">
        <v>40819</v>
      </c>
      <c r="D492" s="21" t="s">
        <v>809</v>
      </c>
      <c r="E492" s="23">
        <v>1020.82</v>
      </c>
    </row>
    <row r="493" spans="1:5" x14ac:dyDescent="0.3">
      <c r="A493" s="20" t="s">
        <v>810</v>
      </c>
      <c r="B493" s="21" t="s">
        <v>811</v>
      </c>
      <c r="C493" s="22">
        <v>40831</v>
      </c>
      <c r="D493" s="21" t="s">
        <v>812</v>
      </c>
      <c r="E493" s="23">
        <v>1020.41</v>
      </c>
    </row>
    <row r="494" spans="1:5" x14ac:dyDescent="0.3">
      <c r="A494" s="20" t="s">
        <v>813</v>
      </c>
      <c r="B494" s="21" t="s">
        <v>814</v>
      </c>
      <c r="C494" s="22">
        <v>40832</v>
      </c>
      <c r="D494" s="21" t="s">
        <v>815</v>
      </c>
      <c r="E494" s="23">
        <v>1023.37</v>
      </c>
    </row>
    <row r="495" spans="1:5" x14ac:dyDescent="0.3">
      <c r="A495" s="20" t="s">
        <v>816</v>
      </c>
      <c r="B495" s="21" t="s">
        <v>817</v>
      </c>
      <c r="C495" s="22">
        <v>40820</v>
      </c>
      <c r="D495" s="21" t="s">
        <v>818</v>
      </c>
      <c r="E495" s="23">
        <v>1045.0999999999999</v>
      </c>
    </row>
    <row r="496" spans="1:5" x14ac:dyDescent="0.3">
      <c r="A496" s="20" t="s">
        <v>819</v>
      </c>
      <c r="B496" s="21" t="s">
        <v>820</v>
      </c>
      <c r="C496" s="22">
        <v>40838</v>
      </c>
      <c r="D496" s="21" t="s">
        <v>821</v>
      </c>
      <c r="E496" s="23">
        <v>1023.72</v>
      </c>
    </row>
    <row r="497" spans="1:5" x14ac:dyDescent="0.3">
      <c r="A497" s="20" t="s">
        <v>822</v>
      </c>
      <c r="B497" s="21" t="s">
        <v>823</v>
      </c>
      <c r="C497" s="22">
        <v>40823</v>
      </c>
      <c r="D497" s="21" t="s">
        <v>824</v>
      </c>
      <c r="E497" s="23">
        <v>1015.78</v>
      </c>
    </row>
    <row r="498" spans="1:5" x14ac:dyDescent="0.3">
      <c r="A498" s="20" t="s">
        <v>825</v>
      </c>
      <c r="B498" s="21" t="s">
        <v>826</v>
      </c>
      <c r="C498" s="22">
        <v>40817</v>
      </c>
      <c r="D498" s="21" t="s">
        <v>827</v>
      </c>
      <c r="E498" s="23">
        <v>1019.67</v>
      </c>
    </row>
    <row r="499" spans="1:5" x14ac:dyDescent="0.3">
      <c r="A499" s="20" t="s">
        <v>825</v>
      </c>
      <c r="B499" s="21" t="s">
        <v>826</v>
      </c>
      <c r="C499" s="22">
        <v>40828</v>
      </c>
      <c r="D499" s="21" t="s">
        <v>828</v>
      </c>
      <c r="E499" s="23">
        <v>1024.1400000000001</v>
      </c>
    </row>
    <row r="500" spans="1:5" x14ac:dyDescent="0.3">
      <c r="A500" s="20" t="s">
        <v>825</v>
      </c>
      <c r="B500" s="21" t="s">
        <v>826</v>
      </c>
      <c r="C500" s="22">
        <v>40828</v>
      </c>
      <c r="D500" s="21" t="s">
        <v>829</v>
      </c>
      <c r="E500" s="23">
        <v>1041.52</v>
      </c>
    </row>
    <row r="501" spans="1:5" x14ac:dyDescent="0.3">
      <c r="A501" s="20" t="s">
        <v>830</v>
      </c>
      <c r="B501" s="21" t="s">
        <v>831</v>
      </c>
      <c r="C501" s="22">
        <v>40839</v>
      </c>
      <c r="D501" s="21" t="s">
        <v>832</v>
      </c>
      <c r="E501" s="23">
        <v>1022.24</v>
      </c>
    </row>
    <row r="502" spans="1:5" x14ac:dyDescent="0.3">
      <c r="A502" s="20" t="s">
        <v>830</v>
      </c>
      <c r="B502" s="21" t="s">
        <v>831</v>
      </c>
      <c r="C502" s="22">
        <v>40839</v>
      </c>
      <c r="D502" s="21" t="s">
        <v>833</v>
      </c>
      <c r="E502" s="23">
        <v>1043.67</v>
      </c>
    </row>
    <row r="503" spans="1:5" x14ac:dyDescent="0.3">
      <c r="A503" s="20" t="s">
        <v>834</v>
      </c>
      <c r="B503" s="21" t="s">
        <v>835</v>
      </c>
      <c r="C503" s="22">
        <v>40818</v>
      </c>
      <c r="D503" s="21" t="s">
        <v>836</v>
      </c>
      <c r="E503" s="23">
        <v>1180.19</v>
      </c>
    </row>
    <row r="504" spans="1:5" x14ac:dyDescent="0.3">
      <c r="A504" s="20" t="s">
        <v>834</v>
      </c>
      <c r="B504" s="21" t="s">
        <v>835</v>
      </c>
      <c r="C504" s="22">
        <v>40817</v>
      </c>
      <c r="D504" s="21" t="s">
        <v>837</v>
      </c>
      <c r="E504" s="23">
        <v>1180.19</v>
      </c>
    </row>
    <row r="505" spans="1:5" x14ac:dyDescent="0.3">
      <c r="A505" s="20" t="s">
        <v>838</v>
      </c>
      <c r="B505" s="21" t="s">
        <v>839</v>
      </c>
      <c r="C505" s="22">
        <v>40833</v>
      </c>
      <c r="D505" s="21" t="s">
        <v>840</v>
      </c>
      <c r="E505" s="23">
        <v>1016.38</v>
      </c>
    </row>
    <row r="506" spans="1:5" x14ac:dyDescent="0.3">
      <c r="A506" s="20" t="s">
        <v>838</v>
      </c>
      <c r="B506" s="21" t="s">
        <v>839</v>
      </c>
      <c r="C506" s="22">
        <v>40839</v>
      </c>
      <c r="D506" s="21" t="s">
        <v>841</v>
      </c>
      <c r="E506" s="23">
        <v>1017.12</v>
      </c>
    </row>
    <row r="507" spans="1:5" x14ac:dyDescent="0.3">
      <c r="A507" s="20" t="s">
        <v>842</v>
      </c>
      <c r="B507" s="21" t="s">
        <v>843</v>
      </c>
      <c r="C507" s="22">
        <v>40828</v>
      </c>
      <c r="D507" s="21" t="s">
        <v>844</v>
      </c>
      <c r="E507" s="23">
        <v>1020.44</v>
      </c>
    </row>
    <row r="508" spans="1:5" x14ac:dyDescent="0.3">
      <c r="A508" s="20" t="s">
        <v>842</v>
      </c>
      <c r="B508" s="21" t="s">
        <v>843</v>
      </c>
      <c r="C508" s="22">
        <v>40842</v>
      </c>
      <c r="D508" s="21" t="s">
        <v>845</v>
      </c>
      <c r="E508" s="23">
        <v>1017.72</v>
      </c>
    </row>
    <row r="509" spans="1:5" x14ac:dyDescent="0.3">
      <c r="A509" s="20" t="s">
        <v>842</v>
      </c>
      <c r="B509" s="21" t="s">
        <v>843</v>
      </c>
      <c r="C509" s="22">
        <v>40817</v>
      </c>
      <c r="D509" s="21" t="s">
        <v>846</v>
      </c>
      <c r="E509" s="23">
        <v>1015.76</v>
      </c>
    </row>
    <row r="510" spans="1:5" x14ac:dyDescent="0.3">
      <c r="A510" s="20" t="s">
        <v>842</v>
      </c>
      <c r="B510" s="21" t="s">
        <v>843</v>
      </c>
      <c r="C510" s="22">
        <v>40817</v>
      </c>
      <c r="D510" s="21" t="s">
        <v>847</v>
      </c>
      <c r="E510" s="23">
        <v>1018.47</v>
      </c>
    </row>
    <row r="511" spans="1:5" x14ac:dyDescent="0.3">
      <c r="A511" s="20" t="s">
        <v>848</v>
      </c>
      <c r="B511" s="21" t="s">
        <v>849</v>
      </c>
      <c r="C511" s="22">
        <v>40817</v>
      </c>
      <c r="D511" s="21" t="s">
        <v>850</v>
      </c>
      <c r="E511" s="23">
        <v>1071.83</v>
      </c>
    </row>
    <row r="512" spans="1:5" x14ac:dyDescent="0.3">
      <c r="A512" s="20" t="s">
        <v>842</v>
      </c>
      <c r="B512" s="21" t="s">
        <v>843</v>
      </c>
      <c r="C512" s="22">
        <v>40817</v>
      </c>
      <c r="D512" s="21" t="s">
        <v>851</v>
      </c>
      <c r="E512" s="23">
        <v>1022.22</v>
      </c>
    </row>
    <row r="513" spans="1:5" x14ac:dyDescent="0.3">
      <c r="A513" s="20" t="s">
        <v>848</v>
      </c>
      <c r="B513" s="21" t="s">
        <v>849</v>
      </c>
      <c r="C513" s="22">
        <v>40823</v>
      </c>
      <c r="D513" s="21" t="s">
        <v>852</v>
      </c>
      <c r="E513" s="23">
        <v>1022.84</v>
      </c>
    </row>
    <row r="514" spans="1:5" x14ac:dyDescent="0.3">
      <c r="A514" s="20" t="s">
        <v>848</v>
      </c>
      <c r="B514" s="21" t="s">
        <v>849</v>
      </c>
      <c r="C514" s="22">
        <v>40823</v>
      </c>
      <c r="D514" s="21" t="s">
        <v>853</v>
      </c>
      <c r="E514" s="23">
        <v>1016.53</v>
      </c>
    </row>
    <row r="515" spans="1:5" x14ac:dyDescent="0.3">
      <c r="A515" s="20" t="s">
        <v>842</v>
      </c>
      <c r="B515" s="21" t="s">
        <v>843</v>
      </c>
      <c r="C515" s="22">
        <v>40823</v>
      </c>
      <c r="D515" s="21" t="s">
        <v>854</v>
      </c>
      <c r="E515" s="23">
        <v>1023.01</v>
      </c>
    </row>
    <row r="516" spans="1:5" x14ac:dyDescent="0.3">
      <c r="A516" s="20" t="s">
        <v>842</v>
      </c>
      <c r="B516" s="21" t="s">
        <v>843</v>
      </c>
      <c r="C516" s="22">
        <v>40823</v>
      </c>
      <c r="D516" s="21" t="s">
        <v>855</v>
      </c>
      <c r="E516" s="23">
        <v>1016.07</v>
      </c>
    </row>
    <row r="517" spans="1:5" x14ac:dyDescent="0.3">
      <c r="A517" s="20" t="s">
        <v>842</v>
      </c>
      <c r="B517" s="21" t="s">
        <v>843</v>
      </c>
      <c r="C517" s="22">
        <v>40823</v>
      </c>
      <c r="D517" s="21" t="s">
        <v>856</v>
      </c>
      <c r="E517" s="23">
        <v>1022.95</v>
      </c>
    </row>
    <row r="518" spans="1:5" x14ac:dyDescent="0.3">
      <c r="A518" s="20" t="s">
        <v>842</v>
      </c>
      <c r="B518" s="21" t="s">
        <v>843</v>
      </c>
      <c r="C518" s="22">
        <v>40842</v>
      </c>
      <c r="D518" s="21" t="s">
        <v>857</v>
      </c>
      <c r="E518" s="23">
        <v>1015.16</v>
      </c>
    </row>
    <row r="519" spans="1:5" x14ac:dyDescent="0.3">
      <c r="A519" s="20" t="s">
        <v>848</v>
      </c>
      <c r="B519" s="21" t="s">
        <v>849</v>
      </c>
      <c r="C519" s="22">
        <v>40842</v>
      </c>
      <c r="D519" s="21" t="s">
        <v>858</v>
      </c>
      <c r="E519" s="23">
        <v>1027.07</v>
      </c>
    </row>
    <row r="520" spans="1:5" x14ac:dyDescent="0.3">
      <c r="A520" s="20" t="s">
        <v>848</v>
      </c>
      <c r="B520" s="21" t="s">
        <v>849</v>
      </c>
      <c r="C520" s="22">
        <v>40845</v>
      </c>
      <c r="D520" s="21" t="s">
        <v>859</v>
      </c>
      <c r="E520" s="23">
        <v>1015.72</v>
      </c>
    </row>
    <row r="521" spans="1:5" x14ac:dyDescent="0.3">
      <c r="A521" s="20" t="s">
        <v>860</v>
      </c>
      <c r="B521" s="21" t="s">
        <v>861</v>
      </c>
      <c r="C521" s="22">
        <v>40843</v>
      </c>
      <c r="D521" s="21" t="s">
        <v>862</v>
      </c>
      <c r="E521" s="23">
        <v>1019.87</v>
      </c>
    </row>
    <row r="522" spans="1:5" x14ac:dyDescent="0.3">
      <c r="A522" s="20" t="s">
        <v>860</v>
      </c>
      <c r="B522" s="21" t="s">
        <v>861</v>
      </c>
      <c r="C522" s="22">
        <v>40841</v>
      </c>
      <c r="D522" s="21" t="s">
        <v>863</v>
      </c>
      <c r="E522" s="23">
        <v>1017.15</v>
      </c>
    </row>
    <row r="523" spans="1:5" x14ac:dyDescent="0.3">
      <c r="A523" s="20" t="s">
        <v>864</v>
      </c>
      <c r="B523" s="21" t="s">
        <v>865</v>
      </c>
      <c r="C523" s="22">
        <v>40826</v>
      </c>
      <c r="D523" s="21" t="s">
        <v>866</v>
      </c>
      <c r="E523" s="23">
        <v>1026.8399999999999</v>
      </c>
    </row>
    <row r="524" spans="1:5" x14ac:dyDescent="0.3">
      <c r="A524" s="20" t="s">
        <v>864</v>
      </c>
      <c r="B524" s="21" t="s">
        <v>865</v>
      </c>
      <c r="C524" s="22">
        <v>40826</v>
      </c>
      <c r="D524" s="21" t="s">
        <v>867</v>
      </c>
      <c r="E524" s="23">
        <v>1019.08</v>
      </c>
    </row>
    <row r="525" spans="1:5" x14ac:dyDescent="0.3">
      <c r="A525" s="20" t="s">
        <v>868</v>
      </c>
      <c r="B525" s="21" t="s">
        <v>869</v>
      </c>
      <c r="C525" s="22">
        <v>40825</v>
      </c>
      <c r="D525" s="21" t="s">
        <v>870</v>
      </c>
      <c r="E525" s="23">
        <v>1019.09</v>
      </c>
    </row>
    <row r="526" spans="1:5" x14ac:dyDescent="0.3">
      <c r="A526" s="20" t="s">
        <v>871</v>
      </c>
      <c r="B526" s="21" t="s">
        <v>872</v>
      </c>
      <c r="C526" s="22">
        <v>40828</v>
      </c>
      <c r="D526" s="21" t="s">
        <v>873</v>
      </c>
      <c r="E526" s="23">
        <v>1103.6300000000001</v>
      </c>
    </row>
    <row r="527" spans="1:5" x14ac:dyDescent="0.3">
      <c r="A527" s="20" t="s">
        <v>874</v>
      </c>
      <c r="B527" s="21" t="s">
        <v>875</v>
      </c>
      <c r="C527" s="22">
        <v>40817</v>
      </c>
      <c r="D527" s="21" t="s">
        <v>876</v>
      </c>
      <c r="E527" s="23">
        <v>1027.2</v>
      </c>
    </row>
    <row r="528" spans="1:5" x14ac:dyDescent="0.3">
      <c r="A528" s="20" t="s">
        <v>877</v>
      </c>
      <c r="B528" s="21" t="s">
        <v>878</v>
      </c>
      <c r="C528" s="22">
        <v>40821</v>
      </c>
      <c r="D528" s="21" t="s">
        <v>879</v>
      </c>
      <c r="E528" s="23">
        <v>1024.68</v>
      </c>
    </row>
    <row r="529" spans="1:5" x14ac:dyDescent="0.3">
      <c r="A529" s="20" t="s">
        <v>880</v>
      </c>
      <c r="B529" s="21" t="s">
        <v>881</v>
      </c>
      <c r="C529" s="22">
        <v>40820</v>
      </c>
      <c r="D529" s="21" t="s">
        <v>882</v>
      </c>
      <c r="E529" s="23">
        <v>1024.23</v>
      </c>
    </row>
    <row r="530" spans="1:5" x14ac:dyDescent="0.3">
      <c r="A530" s="20" t="s">
        <v>880</v>
      </c>
      <c r="B530" s="21" t="s">
        <v>881</v>
      </c>
      <c r="C530" s="22">
        <v>40827</v>
      </c>
      <c r="D530" s="21" t="s">
        <v>883</v>
      </c>
      <c r="E530" s="23">
        <v>1027.96</v>
      </c>
    </row>
    <row r="531" spans="1:5" x14ac:dyDescent="0.3">
      <c r="A531" s="20" t="s">
        <v>880</v>
      </c>
      <c r="B531" s="21" t="s">
        <v>881</v>
      </c>
      <c r="C531" s="22">
        <v>40834</v>
      </c>
      <c r="D531" s="21" t="s">
        <v>884</v>
      </c>
      <c r="E531" s="23">
        <v>1022.63</v>
      </c>
    </row>
    <row r="532" spans="1:5" x14ac:dyDescent="0.3">
      <c r="A532" s="20" t="s">
        <v>885</v>
      </c>
      <c r="B532" s="21" t="s">
        <v>886</v>
      </c>
      <c r="C532" s="22">
        <v>40825</v>
      </c>
      <c r="D532" s="21" t="s">
        <v>887</v>
      </c>
      <c r="E532" s="23">
        <v>1028.26</v>
      </c>
    </row>
    <row r="533" spans="1:5" x14ac:dyDescent="0.3">
      <c r="A533" s="20" t="s">
        <v>888</v>
      </c>
      <c r="B533" s="21" t="s">
        <v>889</v>
      </c>
      <c r="C533" s="22">
        <v>40826</v>
      </c>
      <c r="D533" s="21" t="s">
        <v>890</v>
      </c>
      <c r="E533" s="23">
        <v>1019.32</v>
      </c>
    </row>
    <row r="534" spans="1:5" x14ac:dyDescent="0.3">
      <c r="A534" s="20" t="s">
        <v>891</v>
      </c>
      <c r="B534" s="21" t="s">
        <v>892</v>
      </c>
      <c r="C534" s="22">
        <v>40833</v>
      </c>
      <c r="D534" s="21" t="s">
        <v>893</v>
      </c>
      <c r="E534" s="23">
        <v>1016.85</v>
      </c>
    </row>
    <row r="535" spans="1:5" x14ac:dyDescent="0.3">
      <c r="A535" s="20" t="s">
        <v>894</v>
      </c>
      <c r="B535" s="21" t="s">
        <v>895</v>
      </c>
      <c r="C535" s="22">
        <v>40831</v>
      </c>
      <c r="D535" s="21" t="s">
        <v>896</v>
      </c>
      <c r="E535" s="23">
        <v>1020.61</v>
      </c>
    </row>
    <row r="536" spans="1:5" x14ac:dyDescent="0.3">
      <c r="A536" s="20" t="s">
        <v>897</v>
      </c>
      <c r="B536" s="21" t="s">
        <v>898</v>
      </c>
      <c r="C536" s="22">
        <v>40818</v>
      </c>
      <c r="D536" s="21" t="s">
        <v>899</v>
      </c>
      <c r="E536" s="23">
        <v>1017.81</v>
      </c>
    </row>
    <row r="537" spans="1:5" x14ac:dyDescent="0.3">
      <c r="A537" s="20" t="s">
        <v>900</v>
      </c>
      <c r="B537" s="21" t="s">
        <v>901</v>
      </c>
      <c r="C537" s="22">
        <v>40820</v>
      </c>
      <c r="D537" s="21" t="s">
        <v>902</v>
      </c>
      <c r="E537" s="23">
        <v>1154.74</v>
      </c>
    </row>
    <row r="538" spans="1:5" x14ac:dyDescent="0.3">
      <c r="A538" s="20" t="s">
        <v>903</v>
      </c>
      <c r="B538" s="21" t="s">
        <v>904</v>
      </c>
      <c r="C538" s="22">
        <v>40828</v>
      </c>
      <c r="D538" s="21" t="s">
        <v>905</v>
      </c>
      <c r="E538" s="23">
        <v>1021.19</v>
      </c>
    </row>
    <row r="539" spans="1:5" x14ac:dyDescent="0.3">
      <c r="A539" s="20" t="s">
        <v>906</v>
      </c>
      <c r="B539" s="21" t="s">
        <v>907</v>
      </c>
      <c r="C539" s="22">
        <v>40836</v>
      </c>
      <c r="D539" s="21" t="s">
        <v>908</v>
      </c>
      <c r="E539" s="23">
        <v>1017.47</v>
      </c>
    </row>
    <row r="540" spans="1:5" x14ac:dyDescent="0.3">
      <c r="A540" s="20" t="s">
        <v>909</v>
      </c>
      <c r="B540" s="21" t="s">
        <v>910</v>
      </c>
      <c r="C540" s="22">
        <v>40831</v>
      </c>
      <c r="D540" s="21" t="s">
        <v>911</v>
      </c>
      <c r="E540" s="23">
        <v>1016.49</v>
      </c>
    </row>
    <row r="541" spans="1:5" x14ac:dyDescent="0.3">
      <c r="A541" s="20" t="s">
        <v>912</v>
      </c>
      <c r="B541" s="21" t="s">
        <v>913</v>
      </c>
      <c r="C541" s="22">
        <v>40831</v>
      </c>
      <c r="D541" s="21" t="s">
        <v>914</v>
      </c>
      <c r="E541" s="23">
        <v>1015.8</v>
      </c>
    </row>
    <row r="542" spans="1:5" x14ac:dyDescent="0.3">
      <c r="A542" s="20" t="s">
        <v>915</v>
      </c>
      <c r="B542" s="21" t="s">
        <v>916</v>
      </c>
      <c r="C542" s="22">
        <v>40831</v>
      </c>
      <c r="D542" s="21" t="s">
        <v>917</v>
      </c>
      <c r="E542" s="23">
        <v>1017.46</v>
      </c>
    </row>
    <row r="543" spans="1:5" x14ac:dyDescent="0.3">
      <c r="A543" s="20" t="s">
        <v>918</v>
      </c>
      <c r="B543" s="21" t="s">
        <v>919</v>
      </c>
      <c r="C543" s="22">
        <v>40819</v>
      </c>
      <c r="D543" s="21" t="s">
        <v>920</v>
      </c>
      <c r="E543" s="23">
        <v>1021.09</v>
      </c>
    </row>
    <row r="544" spans="1:5" x14ac:dyDescent="0.3">
      <c r="A544" s="20" t="s">
        <v>918</v>
      </c>
      <c r="B544" s="21" t="s">
        <v>919</v>
      </c>
      <c r="C544" s="22">
        <v>40825</v>
      </c>
      <c r="D544" s="21" t="s">
        <v>921</v>
      </c>
      <c r="E544" s="23">
        <v>1021.23</v>
      </c>
    </row>
    <row r="545" spans="1:5" x14ac:dyDescent="0.3">
      <c r="A545" s="20" t="s">
        <v>922</v>
      </c>
      <c r="B545" s="21" t="s">
        <v>923</v>
      </c>
      <c r="C545" s="22">
        <v>40843</v>
      </c>
      <c r="D545" s="21" t="s">
        <v>924</v>
      </c>
      <c r="E545" s="23">
        <v>1050.1199999999999</v>
      </c>
    </row>
    <row r="546" spans="1:5" x14ac:dyDescent="0.3">
      <c r="A546" s="20" t="s">
        <v>925</v>
      </c>
      <c r="B546" s="21" t="s">
        <v>926</v>
      </c>
      <c r="C546" s="22">
        <v>40834</v>
      </c>
      <c r="D546" s="21" t="s">
        <v>927</v>
      </c>
      <c r="E546" s="23">
        <v>1025.3499999999999</v>
      </c>
    </row>
    <row r="547" spans="1:5" x14ac:dyDescent="0.3">
      <c r="A547" s="20" t="s">
        <v>928</v>
      </c>
      <c r="B547" s="21" t="s">
        <v>929</v>
      </c>
      <c r="C547" s="22">
        <v>40842</v>
      </c>
      <c r="D547" s="21" t="s">
        <v>930</v>
      </c>
      <c r="E547" s="23">
        <v>1017.59</v>
      </c>
    </row>
    <row r="548" spans="1:5" x14ac:dyDescent="0.3">
      <c r="A548" s="20" t="s">
        <v>931</v>
      </c>
      <c r="B548" s="21" t="s">
        <v>932</v>
      </c>
      <c r="C548" s="22">
        <v>40819</v>
      </c>
      <c r="D548" s="21" t="s">
        <v>933</v>
      </c>
      <c r="E548" s="23">
        <v>1036.6500000000001</v>
      </c>
    </row>
    <row r="549" spans="1:5" x14ac:dyDescent="0.3">
      <c r="A549" s="20" t="s">
        <v>931</v>
      </c>
      <c r="B549" s="21" t="s">
        <v>932</v>
      </c>
      <c r="C549" s="22">
        <v>40817</v>
      </c>
      <c r="D549" s="21" t="s">
        <v>934</v>
      </c>
      <c r="E549" s="23">
        <v>1037.49</v>
      </c>
    </row>
    <row r="550" spans="1:5" x14ac:dyDescent="0.3">
      <c r="A550" s="20" t="s">
        <v>931</v>
      </c>
      <c r="B550" s="21" t="s">
        <v>932</v>
      </c>
      <c r="C550" s="22">
        <v>40817</v>
      </c>
      <c r="D550" s="21" t="s">
        <v>935</v>
      </c>
      <c r="E550" s="23">
        <v>1028.8399999999999</v>
      </c>
    </row>
    <row r="551" spans="1:5" x14ac:dyDescent="0.3">
      <c r="A551" s="20" t="s">
        <v>931</v>
      </c>
      <c r="B551" s="21" t="s">
        <v>932</v>
      </c>
      <c r="C551" s="22">
        <v>40825</v>
      </c>
      <c r="D551" s="21" t="s">
        <v>936</v>
      </c>
      <c r="E551" s="23">
        <v>1030.5999999999999</v>
      </c>
    </row>
    <row r="552" spans="1:5" x14ac:dyDescent="0.3">
      <c r="A552" s="20" t="s">
        <v>931</v>
      </c>
      <c r="B552" s="21" t="s">
        <v>932</v>
      </c>
      <c r="C552" s="22">
        <v>40836</v>
      </c>
      <c r="D552" s="21" t="s">
        <v>937</v>
      </c>
      <c r="E552" s="23">
        <v>1036.08</v>
      </c>
    </row>
    <row r="553" spans="1:5" x14ac:dyDescent="0.3">
      <c r="A553" s="20" t="s">
        <v>931</v>
      </c>
      <c r="B553" s="21" t="s">
        <v>932</v>
      </c>
      <c r="C553" s="22">
        <v>40836</v>
      </c>
      <c r="D553" s="21" t="s">
        <v>938</v>
      </c>
      <c r="E553" s="23">
        <v>1043.6300000000001</v>
      </c>
    </row>
    <row r="554" spans="1:5" x14ac:dyDescent="0.3">
      <c r="A554" s="20" t="s">
        <v>939</v>
      </c>
      <c r="B554" s="21" t="s">
        <v>940</v>
      </c>
      <c r="C554" s="22">
        <v>40806</v>
      </c>
      <c r="D554" s="21" t="s">
        <v>941</v>
      </c>
      <c r="E554" s="23">
        <v>1056.3499999999999</v>
      </c>
    </row>
    <row r="555" spans="1:5" x14ac:dyDescent="0.3">
      <c r="A555" s="20" t="s">
        <v>942</v>
      </c>
      <c r="B555" s="21" t="s">
        <v>943</v>
      </c>
      <c r="C555" s="22">
        <v>40808</v>
      </c>
      <c r="D555" s="21" t="s">
        <v>944</v>
      </c>
      <c r="E555" s="23">
        <v>1018.28</v>
      </c>
    </row>
    <row r="556" spans="1:5" x14ac:dyDescent="0.3">
      <c r="A556" s="20" t="s">
        <v>945</v>
      </c>
      <c r="B556" s="21" t="s">
        <v>946</v>
      </c>
      <c r="C556" s="22">
        <v>40791</v>
      </c>
      <c r="D556" s="21" t="s">
        <v>947</v>
      </c>
      <c r="E556" s="23">
        <v>1018.68</v>
      </c>
    </row>
    <row r="557" spans="1:5" x14ac:dyDescent="0.3">
      <c r="A557" s="20" t="s">
        <v>948</v>
      </c>
      <c r="B557" s="21" t="s">
        <v>949</v>
      </c>
      <c r="C557" s="22">
        <v>40804</v>
      </c>
      <c r="D557" s="21" t="s">
        <v>950</v>
      </c>
      <c r="E557" s="23">
        <v>1099.3599999999999</v>
      </c>
    </row>
    <row r="558" spans="1:5" x14ac:dyDescent="0.3">
      <c r="A558" s="20" t="s">
        <v>951</v>
      </c>
      <c r="B558" s="21" t="s">
        <v>952</v>
      </c>
      <c r="C558" s="22">
        <v>40796</v>
      </c>
      <c r="D558" s="21" t="s">
        <v>953</v>
      </c>
      <c r="E558" s="23">
        <v>1043.6099999999999</v>
      </c>
    </row>
    <row r="559" spans="1:5" x14ac:dyDescent="0.3">
      <c r="A559" s="20" t="s">
        <v>954</v>
      </c>
      <c r="B559" s="21" t="s">
        <v>955</v>
      </c>
      <c r="C559" s="22">
        <v>40804</v>
      </c>
      <c r="D559" s="21" t="s">
        <v>956</v>
      </c>
      <c r="E559" s="23">
        <v>1016.23</v>
      </c>
    </row>
    <row r="560" spans="1:5" x14ac:dyDescent="0.3">
      <c r="A560" s="20" t="s">
        <v>957</v>
      </c>
      <c r="B560" s="21" t="s">
        <v>958</v>
      </c>
      <c r="C560" s="22">
        <v>40805</v>
      </c>
      <c r="D560" s="21" t="s">
        <v>959</v>
      </c>
      <c r="E560" s="23">
        <v>1018.02</v>
      </c>
    </row>
    <row r="561" spans="1:5" x14ac:dyDescent="0.3">
      <c r="A561" s="20" t="s">
        <v>957</v>
      </c>
      <c r="B561" s="21" t="s">
        <v>958</v>
      </c>
      <c r="C561" s="22">
        <v>40805</v>
      </c>
      <c r="D561" s="21" t="s">
        <v>960</v>
      </c>
      <c r="E561" s="23">
        <v>1018.1</v>
      </c>
    </row>
    <row r="562" spans="1:5" x14ac:dyDescent="0.3">
      <c r="A562" s="20" t="s">
        <v>961</v>
      </c>
      <c r="B562" s="21" t="s">
        <v>962</v>
      </c>
      <c r="C562" s="22">
        <v>40797</v>
      </c>
      <c r="D562" s="21" t="s">
        <v>963</v>
      </c>
      <c r="E562" s="23">
        <v>1019.06</v>
      </c>
    </row>
    <row r="563" spans="1:5" x14ac:dyDescent="0.3">
      <c r="A563" s="20" t="s">
        <v>964</v>
      </c>
      <c r="B563" s="21" t="s">
        <v>965</v>
      </c>
      <c r="C563" s="22">
        <v>40801</v>
      </c>
      <c r="D563" s="21" t="s">
        <v>966</v>
      </c>
      <c r="E563" s="23">
        <v>1016.48</v>
      </c>
    </row>
    <row r="564" spans="1:5" x14ac:dyDescent="0.3">
      <c r="A564" s="20" t="s">
        <v>967</v>
      </c>
      <c r="B564" s="21" t="s">
        <v>968</v>
      </c>
      <c r="C564" s="22">
        <v>40808</v>
      </c>
      <c r="D564" s="21" t="s">
        <v>969</v>
      </c>
      <c r="E564" s="23">
        <v>1018.42</v>
      </c>
    </row>
    <row r="565" spans="1:5" x14ac:dyDescent="0.3">
      <c r="A565" s="20" t="s">
        <v>970</v>
      </c>
      <c r="B565" s="21" t="s">
        <v>971</v>
      </c>
      <c r="C565" s="22">
        <v>40795</v>
      </c>
      <c r="D565" s="21" t="s">
        <v>972</v>
      </c>
      <c r="E565" s="23">
        <v>1297.48</v>
      </c>
    </row>
    <row r="566" spans="1:5" x14ac:dyDescent="0.3">
      <c r="A566" s="20" t="s">
        <v>973</v>
      </c>
      <c r="B566" s="21" t="s">
        <v>974</v>
      </c>
      <c r="C566" s="22">
        <v>40798</v>
      </c>
      <c r="D566" s="21" t="s">
        <v>975</v>
      </c>
      <c r="E566" s="23">
        <v>1024.5999999999999</v>
      </c>
    </row>
    <row r="567" spans="1:5" x14ac:dyDescent="0.3">
      <c r="A567" s="20" t="s">
        <v>973</v>
      </c>
      <c r="B567" s="21" t="s">
        <v>974</v>
      </c>
      <c r="C567" s="22">
        <v>40812</v>
      </c>
      <c r="D567" s="21" t="s">
        <v>976</v>
      </c>
      <c r="E567" s="23">
        <v>1017.02</v>
      </c>
    </row>
    <row r="568" spans="1:5" x14ac:dyDescent="0.3">
      <c r="A568" s="20" t="s">
        <v>977</v>
      </c>
      <c r="B568" s="21" t="s">
        <v>978</v>
      </c>
      <c r="C568" s="22">
        <v>40795</v>
      </c>
      <c r="D568" s="21" t="s">
        <v>979</v>
      </c>
      <c r="E568" s="23">
        <v>1018.02</v>
      </c>
    </row>
    <row r="569" spans="1:5" x14ac:dyDescent="0.3">
      <c r="A569" s="20" t="s">
        <v>980</v>
      </c>
      <c r="B569" s="21" t="s">
        <v>981</v>
      </c>
      <c r="C569" s="22">
        <v>40787</v>
      </c>
      <c r="D569" s="21" t="s">
        <v>982</v>
      </c>
      <c r="E569" s="23">
        <v>1015.77</v>
      </c>
    </row>
    <row r="570" spans="1:5" x14ac:dyDescent="0.3">
      <c r="A570" s="20" t="s">
        <v>983</v>
      </c>
      <c r="B570" s="21" t="s">
        <v>984</v>
      </c>
      <c r="C570" s="22">
        <v>40791</v>
      </c>
      <c r="D570" s="21" t="s">
        <v>985</v>
      </c>
      <c r="E570" s="23">
        <v>1069.3</v>
      </c>
    </row>
    <row r="571" spans="1:5" x14ac:dyDescent="0.3">
      <c r="A571" s="20" t="s">
        <v>986</v>
      </c>
      <c r="B571" s="21" t="s">
        <v>987</v>
      </c>
      <c r="C571" s="22">
        <v>40790</v>
      </c>
      <c r="D571" s="21" t="s">
        <v>988</v>
      </c>
      <c r="E571" s="23">
        <v>1020.51</v>
      </c>
    </row>
    <row r="572" spans="1:5" x14ac:dyDescent="0.3">
      <c r="A572" s="20" t="s">
        <v>989</v>
      </c>
      <c r="B572" s="21" t="s">
        <v>990</v>
      </c>
      <c r="C572" s="22">
        <v>40803</v>
      </c>
      <c r="D572" s="21" t="s">
        <v>991</v>
      </c>
      <c r="E572" s="23">
        <v>1021.68</v>
      </c>
    </row>
    <row r="573" spans="1:5" x14ac:dyDescent="0.3">
      <c r="A573" s="20" t="s">
        <v>992</v>
      </c>
      <c r="B573" s="21" t="s">
        <v>993</v>
      </c>
      <c r="C573" s="22">
        <v>40802</v>
      </c>
      <c r="D573" s="21" t="s">
        <v>994</v>
      </c>
      <c r="E573" s="23">
        <v>1028.8399999999999</v>
      </c>
    </row>
    <row r="574" spans="1:5" x14ac:dyDescent="0.3">
      <c r="A574" s="20" t="s">
        <v>995</v>
      </c>
      <c r="B574" s="21" t="s">
        <v>996</v>
      </c>
      <c r="C574" s="22">
        <v>40798</v>
      </c>
      <c r="D574" s="21" t="s">
        <v>997</v>
      </c>
      <c r="E574" s="23">
        <v>1023.64</v>
      </c>
    </row>
    <row r="575" spans="1:5" x14ac:dyDescent="0.3">
      <c r="A575" s="20" t="s">
        <v>998</v>
      </c>
      <c r="B575" s="21" t="s">
        <v>999</v>
      </c>
      <c r="C575" s="22">
        <v>40804</v>
      </c>
      <c r="D575" s="21" t="s">
        <v>1000</v>
      </c>
      <c r="E575" s="23">
        <v>2979.79</v>
      </c>
    </row>
    <row r="576" spans="1:5" x14ac:dyDescent="0.3">
      <c r="A576" s="20" t="s">
        <v>1001</v>
      </c>
      <c r="B576" s="21" t="s">
        <v>1002</v>
      </c>
      <c r="C576" s="22">
        <v>40796</v>
      </c>
      <c r="D576" s="21" t="s">
        <v>1003</v>
      </c>
      <c r="E576" s="23">
        <v>1019.26</v>
      </c>
    </row>
    <row r="577" spans="1:5" x14ac:dyDescent="0.3">
      <c r="A577" s="20" t="s">
        <v>1004</v>
      </c>
      <c r="B577" s="21" t="s">
        <v>1005</v>
      </c>
      <c r="C577" s="22">
        <v>40801</v>
      </c>
      <c r="D577" s="21" t="s">
        <v>1006</v>
      </c>
      <c r="E577" s="23">
        <v>1021.97</v>
      </c>
    </row>
    <row r="578" spans="1:5" x14ac:dyDescent="0.3">
      <c r="A578" s="20" t="s">
        <v>1007</v>
      </c>
      <c r="B578" s="21" t="s">
        <v>1008</v>
      </c>
      <c r="C578" s="22">
        <v>40813</v>
      </c>
      <c r="D578" s="21" t="s">
        <v>1009</v>
      </c>
      <c r="E578" s="23">
        <v>1019.55</v>
      </c>
    </row>
    <row r="579" spans="1:5" x14ac:dyDescent="0.3">
      <c r="A579" s="20" t="s">
        <v>1010</v>
      </c>
      <c r="B579" s="21" t="s">
        <v>1011</v>
      </c>
      <c r="C579" s="22">
        <v>40810</v>
      </c>
      <c r="D579" s="21" t="s">
        <v>1012</v>
      </c>
      <c r="E579" s="23">
        <v>1019.55</v>
      </c>
    </row>
    <row r="580" spans="1:5" x14ac:dyDescent="0.3">
      <c r="A580" s="20" t="s">
        <v>1013</v>
      </c>
      <c r="B580" s="21" t="s">
        <v>1014</v>
      </c>
      <c r="C580" s="22">
        <v>40796</v>
      </c>
      <c r="D580" s="21" t="s">
        <v>1015</v>
      </c>
      <c r="E580" s="23">
        <v>1016.78</v>
      </c>
    </row>
    <row r="581" spans="1:5" x14ac:dyDescent="0.3">
      <c r="A581" s="20" t="s">
        <v>1016</v>
      </c>
      <c r="B581" s="21" t="s">
        <v>1017</v>
      </c>
      <c r="C581" s="22">
        <v>40810</v>
      </c>
      <c r="D581" s="21" t="s">
        <v>1018</v>
      </c>
      <c r="E581" s="23">
        <v>1016.98</v>
      </c>
    </row>
    <row r="582" spans="1:5" x14ac:dyDescent="0.3">
      <c r="A582" s="20" t="s">
        <v>1019</v>
      </c>
      <c r="B582" s="21" t="s">
        <v>1020</v>
      </c>
      <c r="C582" s="22">
        <v>40810</v>
      </c>
      <c r="D582" s="21" t="s">
        <v>1021</v>
      </c>
      <c r="E582" s="23">
        <v>1020.19</v>
      </c>
    </row>
    <row r="583" spans="1:5" x14ac:dyDescent="0.3">
      <c r="A583" s="20" t="s">
        <v>1022</v>
      </c>
      <c r="B583" s="21" t="s">
        <v>1023</v>
      </c>
      <c r="C583" s="22">
        <v>40798</v>
      </c>
      <c r="D583" s="21" t="s">
        <v>1024</v>
      </c>
      <c r="E583" s="23">
        <v>1020.56</v>
      </c>
    </row>
    <row r="584" spans="1:5" x14ac:dyDescent="0.3">
      <c r="A584" s="20" t="s">
        <v>1025</v>
      </c>
      <c r="B584" s="21" t="s">
        <v>1026</v>
      </c>
      <c r="C584" s="22">
        <v>40795</v>
      </c>
      <c r="D584" s="21" t="s">
        <v>1027</v>
      </c>
      <c r="E584" s="23">
        <v>1015.7</v>
      </c>
    </row>
    <row r="585" spans="1:5" x14ac:dyDescent="0.3">
      <c r="A585" s="20" t="s">
        <v>1028</v>
      </c>
      <c r="B585" s="21" t="s">
        <v>1029</v>
      </c>
      <c r="C585" s="22">
        <v>40787</v>
      </c>
      <c r="D585" s="21" t="s">
        <v>1030</v>
      </c>
      <c r="E585" s="23">
        <v>1022.44</v>
      </c>
    </row>
    <row r="586" spans="1:5" x14ac:dyDescent="0.3">
      <c r="A586" s="20" t="s">
        <v>1031</v>
      </c>
      <c r="B586" s="21" t="s">
        <v>1032</v>
      </c>
      <c r="C586" s="22">
        <v>40806</v>
      </c>
      <c r="D586" s="21" t="s">
        <v>1033</v>
      </c>
      <c r="E586" s="23">
        <v>1017.6</v>
      </c>
    </row>
    <row r="587" spans="1:5" x14ac:dyDescent="0.3">
      <c r="A587" s="20" t="s">
        <v>1031</v>
      </c>
      <c r="B587" s="21" t="s">
        <v>1032</v>
      </c>
      <c r="C587" s="22">
        <v>40802</v>
      </c>
      <c r="D587" s="21" t="s">
        <v>1034</v>
      </c>
      <c r="E587" s="23">
        <v>1020.15</v>
      </c>
    </row>
    <row r="588" spans="1:5" x14ac:dyDescent="0.3">
      <c r="A588" s="20" t="s">
        <v>1035</v>
      </c>
      <c r="B588" s="21" t="s">
        <v>1036</v>
      </c>
      <c r="C588" s="22">
        <v>40802</v>
      </c>
      <c r="D588" s="21" t="s">
        <v>1037</v>
      </c>
      <c r="E588" s="23">
        <v>1022.16</v>
      </c>
    </row>
    <row r="589" spans="1:5" x14ac:dyDescent="0.3">
      <c r="A589" s="20" t="s">
        <v>1038</v>
      </c>
      <c r="B589" s="21" t="s">
        <v>1039</v>
      </c>
      <c r="C589" s="22">
        <v>40810</v>
      </c>
      <c r="D589" s="21" t="s">
        <v>1040</v>
      </c>
      <c r="E589" s="23">
        <v>1501.04</v>
      </c>
    </row>
    <row r="590" spans="1:5" x14ac:dyDescent="0.3">
      <c r="A590" s="20" t="s">
        <v>1041</v>
      </c>
      <c r="B590" s="21" t="s">
        <v>1042</v>
      </c>
      <c r="C590" s="22">
        <v>40796</v>
      </c>
      <c r="D590" s="21" t="s">
        <v>1043</v>
      </c>
      <c r="E590" s="23">
        <v>1019.03</v>
      </c>
    </row>
    <row r="591" spans="1:5" x14ac:dyDescent="0.3">
      <c r="A591" s="20" t="s">
        <v>1041</v>
      </c>
      <c r="B591" s="21" t="s">
        <v>1042</v>
      </c>
      <c r="C591" s="22">
        <v>40803</v>
      </c>
      <c r="D591" s="21" t="s">
        <v>1044</v>
      </c>
      <c r="E591" s="23">
        <v>1018.71</v>
      </c>
    </row>
    <row r="592" spans="1:5" x14ac:dyDescent="0.3">
      <c r="A592" s="20" t="s">
        <v>1045</v>
      </c>
      <c r="B592" s="21" t="s">
        <v>1046</v>
      </c>
      <c r="C592" s="22">
        <v>40793</v>
      </c>
      <c r="D592" s="21" t="s">
        <v>1047</v>
      </c>
      <c r="E592" s="23">
        <v>1016.56</v>
      </c>
    </row>
    <row r="593" spans="1:5" x14ac:dyDescent="0.3">
      <c r="A593" s="20" t="s">
        <v>1048</v>
      </c>
      <c r="B593" s="21" t="s">
        <v>1049</v>
      </c>
      <c r="C593" s="22">
        <v>40792</v>
      </c>
      <c r="D593" s="21" t="s">
        <v>1050</v>
      </c>
      <c r="E593" s="23">
        <v>1016.33</v>
      </c>
    </row>
    <row r="594" spans="1:5" x14ac:dyDescent="0.3">
      <c r="A594" s="20" t="s">
        <v>1051</v>
      </c>
      <c r="B594" s="21" t="s">
        <v>1052</v>
      </c>
      <c r="C594" s="22">
        <v>40789</v>
      </c>
      <c r="D594" s="21" t="s">
        <v>1053</v>
      </c>
      <c r="E594" s="23">
        <v>1018.87</v>
      </c>
    </row>
    <row r="595" spans="1:5" x14ac:dyDescent="0.3">
      <c r="A595" s="20" t="s">
        <v>1054</v>
      </c>
      <c r="B595" s="21" t="s">
        <v>1055</v>
      </c>
      <c r="C595" s="22">
        <v>40802</v>
      </c>
      <c r="D595" s="21" t="s">
        <v>1056</v>
      </c>
      <c r="E595" s="23">
        <v>1024.2</v>
      </c>
    </row>
    <row r="596" spans="1:5" x14ac:dyDescent="0.3">
      <c r="A596" s="20" t="s">
        <v>1054</v>
      </c>
      <c r="B596" s="21" t="s">
        <v>1055</v>
      </c>
      <c r="C596" s="22">
        <v>40804</v>
      </c>
      <c r="D596" s="21" t="s">
        <v>1057</v>
      </c>
      <c r="E596" s="23">
        <v>1037.8800000000001</v>
      </c>
    </row>
    <row r="597" spans="1:5" x14ac:dyDescent="0.3">
      <c r="A597" s="20" t="s">
        <v>1058</v>
      </c>
      <c r="B597" s="21" t="s">
        <v>1059</v>
      </c>
      <c r="C597" s="22">
        <v>40816</v>
      </c>
      <c r="D597" s="21" t="s">
        <v>1060</v>
      </c>
      <c r="E597" s="23">
        <v>1017.61</v>
      </c>
    </row>
    <row r="598" spans="1:5" x14ac:dyDescent="0.3">
      <c r="A598" s="20" t="s">
        <v>1061</v>
      </c>
      <c r="B598" s="21" t="s">
        <v>1062</v>
      </c>
      <c r="C598" s="22">
        <v>40816</v>
      </c>
      <c r="D598" s="21" t="s">
        <v>1063</v>
      </c>
      <c r="E598" s="23">
        <v>1034.82</v>
      </c>
    </row>
    <row r="599" spans="1:5" x14ac:dyDescent="0.3">
      <c r="A599" s="20" t="s">
        <v>1064</v>
      </c>
      <c r="B599" s="21" t="s">
        <v>1065</v>
      </c>
      <c r="C599" s="22" t="s">
        <v>1066</v>
      </c>
      <c r="D599" s="21" t="s">
        <v>1067</v>
      </c>
      <c r="E599" s="23">
        <v>3464.8</v>
      </c>
    </row>
    <row r="600" spans="1:5" x14ac:dyDescent="0.3">
      <c r="A600" s="20" t="s">
        <v>1064</v>
      </c>
      <c r="B600" s="21" t="s">
        <v>1065</v>
      </c>
      <c r="C600" s="22" t="s">
        <v>1066</v>
      </c>
      <c r="D600" s="21" t="s">
        <v>1067</v>
      </c>
      <c r="E600" s="23">
        <v>2082.67</v>
      </c>
    </row>
    <row r="601" spans="1:5" x14ac:dyDescent="0.3">
      <c r="A601" s="20" t="s">
        <v>1068</v>
      </c>
      <c r="B601" s="21" t="s">
        <v>1069</v>
      </c>
      <c r="C601" s="22" t="s">
        <v>1066</v>
      </c>
      <c r="D601" s="21" t="s">
        <v>1070</v>
      </c>
      <c r="E601" s="23">
        <v>1587.28</v>
      </c>
    </row>
    <row r="602" spans="1:5" x14ac:dyDescent="0.3">
      <c r="A602" s="20" t="s">
        <v>1071</v>
      </c>
      <c r="B602" s="21" t="s">
        <v>1072</v>
      </c>
      <c r="C602" s="25" t="s">
        <v>1066</v>
      </c>
      <c r="D602" s="21" t="s">
        <v>1073</v>
      </c>
      <c r="E602" s="23">
        <v>2829.81</v>
      </c>
    </row>
    <row r="603" spans="1:5" x14ac:dyDescent="0.3">
      <c r="A603" s="20" t="s">
        <v>1074</v>
      </c>
      <c r="B603" s="21" t="s">
        <v>1075</v>
      </c>
      <c r="C603" s="22">
        <v>40801</v>
      </c>
      <c r="D603" s="21" t="s">
        <v>1076</v>
      </c>
      <c r="E603" s="23">
        <v>2087.67</v>
      </c>
    </row>
    <row r="604" spans="1:5" x14ac:dyDescent="0.3">
      <c r="A604" s="20" t="s">
        <v>1074</v>
      </c>
      <c r="B604" s="21" t="s">
        <v>1075</v>
      </c>
      <c r="C604" s="22" t="s">
        <v>1066</v>
      </c>
      <c r="D604" s="21" t="s">
        <v>1076</v>
      </c>
      <c r="E604" s="23">
        <v>1813.7</v>
      </c>
    </row>
    <row r="605" spans="1:5" x14ac:dyDescent="0.3">
      <c r="A605" s="20" t="s">
        <v>1077</v>
      </c>
      <c r="B605" s="21" t="s">
        <v>1078</v>
      </c>
      <c r="C605" s="22">
        <v>40787</v>
      </c>
      <c r="D605" s="21" t="s">
        <v>1079</v>
      </c>
      <c r="E605" s="23">
        <v>10412.84</v>
      </c>
    </row>
    <row r="606" spans="1:5" x14ac:dyDescent="0.3">
      <c r="A606" s="20" t="s">
        <v>1077</v>
      </c>
      <c r="B606" s="21" t="s">
        <v>1078</v>
      </c>
      <c r="C606" s="22">
        <v>40787</v>
      </c>
      <c r="D606" s="21" t="s">
        <v>1079</v>
      </c>
      <c r="E606" s="23">
        <v>2119.12</v>
      </c>
    </row>
    <row r="607" spans="1:5" x14ac:dyDescent="0.3">
      <c r="A607" s="20" t="s">
        <v>1077</v>
      </c>
      <c r="B607" s="21" t="s">
        <v>1078</v>
      </c>
      <c r="C607" s="22">
        <v>40787</v>
      </c>
      <c r="D607" s="21" t="s">
        <v>1079</v>
      </c>
      <c r="E607" s="23">
        <v>2052.88</v>
      </c>
    </row>
    <row r="608" spans="1:5" x14ac:dyDescent="0.3">
      <c r="A608" s="20" t="s">
        <v>1077</v>
      </c>
      <c r="B608" s="21" t="s">
        <v>1078</v>
      </c>
      <c r="C608" s="22">
        <v>40787</v>
      </c>
      <c r="D608" s="21" t="s">
        <v>1079</v>
      </c>
      <c r="E608" s="23">
        <v>1015</v>
      </c>
    </row>
    <row r="609" spans="2:5" x14ac:dyDescent="0.3">
      <c r="B609">
        <f>COUNTA(B1:B608)</f>
        <v>608</v>
      </c>
      <c r="E609" s="26"/>
    </row>
  </sheetData>
  <autoFilter ref="A1:E608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13</vt:i4>
      </vt:variant>
      <vt:variant>
        <vt:lpstr>Adlandırılmış Aralıklar</vt:lpstr>
      </vt:variant>
      <vt:variant>
        <vt:i4>12</vt:i4>
      </vt:variant>
    </vt:vector>
  </HeadingPairs>
  <TitlesOfParts>
    <vt:vector size="25" baseType="lpstr">
      <vt:lpstr>Sayfa1 (4)</vt:lpstr>
      <vt:lpstr>Sayfa3</vt:lpstr>
      <vt:lpstr>SORU</vt:lpstr>
      <vt:lpstr>Sayfa1 (3)</vt:lpstr>
      <vt:lpstr>ÇokEğerOrtalama</vt:lpstr>
      <vt:lpstr>Etopla</vt:lpstr>
      <vt:lpstr>Sayfa1 (2)</vt:lpstr>
      <vt:lpstr>Sayfa2</vt:lpstr>
      <vt:lpstr>Sayfa1</vt:lpstr>
      <vt:lpstr>PARÇAAL</vt:lpstr>
      <vt:lpstr>TABLO  (2)</vt:lpstr>
      <vt:lpstr>İNDİS - KAÇINCI</vt:lpstr>
      <vt:lpstr>TABLO </vt:lpstr>
      <vt:lpstr>denkim</vt:lpstr>
      <vt:lpstr>denkim2</vt:lpstr>
      <vt:lpstr>erda</vt:lpstr>
      <vt:lpstr>erda2</vt:lpstr>
      <vt:lpstr>evteks</vt:lpstr>
      <vt:lpstr>evteks2</vt:lpstr>
      <vt:lpstr>firma</vt:lpstr>
      <vt:lpstr>karsan</vt:lpstr>
      <vt:lpstr>karsan1</vt:lpstr>
      <vt:lpstr>mart</vt:lpstr>
      <vt:lpstr>ocak</vt:lpstr>
      <vt:lpstr>şubat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</dc:creator>
  <cp:lastModifiedBy>Mehmet</cp:lastModifiedBy>
  <dcterms:created xsi:type="dcterms:W3CDTF">2026-05-17T23:15:17Z</dcterms:created>
  <dcterms:modified xsi:type="dcterms:W3CDTF">2026-05-17T23:27:00Z</dcterms:modified>
</cp:coreProperties>
</file>