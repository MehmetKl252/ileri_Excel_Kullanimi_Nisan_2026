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499B41ED-491B-4C8E-824E-E1B3D03B11C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ÇokETopla" sheetId="1" r:id="rId1"/>
  </sheets>
  <definedNames>
    <definedName name="_xlnm._FilterDatabase" localSheetId="0" hidden="1">ÇokETopla!$A$1:$H$23</definedName>
    <definedName name="satış">ÇokETopla!$F$2:$F$23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M2" i="1"/>
  <c r="N4" i="1"/>
  <c r="N3" i="1"/>
  <c r="N2" i="1"/>
</calcChain>
</file>

<file path=xl/sharedStrings.xml><?xml version="1.0" encoding="utf-8"?>
<sst xmlns="http://schemas.openxmlformats.org/spreadsheetml/2006/main" count="99" uniqueCount="73">
  <si>
    <t>Ürün No</t>
  </si>
  <si>
    <t>Markası</t>
  </si>
  <si>
    <t>Modeli</t>
  </si>
  <si>
    <t>Ürün
Adeti</t>
  </si>
  <si>
    <t>Ürün
Fiyatı</t>
  </si>
  <si>
    <t>(İskontosuz)
Satış
Fiyatı</t>
  </si>
  <si>
    <t>İskonto
%</t>
  </si>
  <si>
    <t>EvTekstili
İskonto</t>
  </si>
  <si>
    <t>İskonto Oranı</t>
  </si>
  <si>
    <t>PM2003</t>
  </si>
  <si>
    <t>Panel Mobilya</t>
  </si>
  <si>
    <t>Bebek Odası</t>
  </si>
  <si>
    <t>1)</t>
  </si>
  <si>
    <t>&lt;=100</t>
  </si>
  <si>
    <t>OTR1000</t>
  </si>
  <si>
    <t>Oturma Grubu</t>
  </si>
  <si>
    <t>Conforto Deri</t>
  </si>
  <si>
    <t>&lt;=1000</t>
  </si>
  <si>
    <t>K1420</t>
  </si>
  <si>
    <t>Kanepe</t>
  </si>
  <si>
    <t>Coolline</t>
  </si>
  <si>
    <t>&lt;=2500</t>
  </si>
  <si>
    <t>OTR1001</t>
  </si>
  <si>
    <t>EV1504</t>
  </si>
  <si>
    <t>Ev Tekstili</t>
  </si>
  <si>
    <t>El İşlemeli Ürünler</t>
  </si>
  <si>
    <t>Markası (Şart1)</t>
  </si>
  <si>
    <t>Ürün Fiyatı (Şart2)</t>
  </si>
  <si>
    <t>İskonto</t>
  </si>
  <si>
    <t>PM2002</t>
  </si>
  <si>
    <t>Genç Odası</t>
  </si>
  <si>
    <t>2)</t>
  </si>
  <si>
    <t>&gt;50</t>
  </si>
  <si>
    <t>EV1503</t>
  </si>
  <si>
    <t>Lisanslı Ürünler</t>
  </si>
  <si>
    <t>PM2006</t>
  </si>
  <si>
    <t>Masa</t>
  </si>
  <si>
    <t>Markaların</t>
  </si>
  <si>
    <t>Toplam Satış Adetleri</t>
  </si>
  <si>
    <t>K1421</t>
  </si>
  <si>
    <t>MasterClass</t>
  </si>
  <si>
    <t>3)</t>
  </si>
  <si>
    <t>OTR1002</t>
  </si>
  <si>
    <t>EV1501</t>
  </si>
  <si>
    <t>Nevresim Takımı</t>
  </si>
  <si>
    <t>PM2005</t>
  </si>
  <si>
    <t>Portmanto</t>
  </si>
  <si>
    <t>PM2008</t>
  </si>
  <si>
    <t>Sandalye</t>
  </si>
  <si>
    <t>PM2007</t>
  </si>
  <si>
    <t>Sehpa</t>
  </si>
  <si>
    <t>4)</t>
  </si>
  <si>
    <t xml:space="preserve">Soru:SatılanÜrün adeti  11 den fazla olanların satış fiyatlarının toplamı </t>
  </si>
  <si>
    <t>K1422</t>
  </si>
  <si>
    <t>Sofaline</t>
  </si>
  <si>
    <t>OTR1003</t>
  </si>
  <si>
    <t>K1423</t>
  </si>
  <si>
    <t>Tv Koltulkarı</t>
  </si>
  <si>
    <t>EV1500</t>
  </si>
  <si>
    <t>Uyku Seti</t>
  </si>
  <si>
    <t>PM2004</t>
  </si>
  <si>
    <t>Vitrin</t>
  </si>
  <si>
    <t>5)</t>
  </si>
  <si>
    <t xml:space="preserve">Soru:Panel mobilyada, SatılanÜrün adeti  11 den fazla olanların satış fiyatlarının toplamı </t>
  </si>
  <si>
    <t>PM2000</t>
  </si>
  <si>
    <t>Yatak Odası</t>
  </si>
  <si>
    <t>EV1502</t>
  </si>
  <si>
    <t>Yatak Örtüsü</t>
  </si>
  <si>
    <t>PM2001</t>
  </si>
  <si>
    <t>Yemek Odası</t>
  </si>
  <si>
    <t>Satış
Fiyatı</t>
  </si>
  <si>
    <t>&gt;2500</t>
  </si>
  <si>
    <t>EĞER(F2&lt;=100;F2*$K$2;EĞER(F2&lt;=1000;F2*$K$3;EĞER(F2&lt;=2500;F2*$K$4;F2*15%)))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</si>
</sst>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₺&quot;_-;\-* #,##0.00\ &quot;₺&quot;_-;_-* &quot;-&quot;??\ &quot;₺&quot;_-;_-@_-"/>
    <numFmt numFmtId="165" formatCode="_-* #,##0\ &quot;₺&quot;_-;\-* #,##0\ &quot;₺&quot;_-;_-* &quot;-&quot;??\ &quot;₺&quot;_-;_-@_-"/>
  </numFmts>
  <fonts count="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10"/>
      <color theme="1"/>
      <name val="Arial"/>
      <family val="2"/>
      <charset val="162"/>
    </font>
    <font>
      <sz val="10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0"/>
      <color rgb="FFFF0000"/>
      <name val="Arial"/>
      <family val="2"/>
      <charset val="162"/>
    </font>
    <font>
      <b/>
      <sz val="8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54">
    <xf numFmtId="0" fontId="0" fillId="0" borderId="0" xfId="0"/>
    <xf numFmtId="0" fontId="2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2" xfId="2" applyFont="1" applyFill="1" applyBorder="1" applyAlignment="1">
      <alignment vertical="center" wrapText="1"/>
    </xf>
    <xf numFmtId="0" fontId="2" fillId="0" borderId="3" xfId="2" applyFont="1" applyFill="1" applyBorder="1" applyAlignment="1">
      <alignment vertical="center" wrapText="1"/>
    </xf>
    <xf numFmtId="0" fontId="0" fillId="0" borderId="3" xfId="0" applyBorder="1" applyAlignment="1">
      <alignment vertical="center"/>
    </xf>
    <xf numFmtId="165" fontId="3" fillId="0" borderId="3" xfId="1" applyNumberFormat="1" applyFont="1" applyFill="1" applyBorder="1" applyAlignment="1">
      <alignment horizontal="right" vertical="center" wrapText="1"/>
    </xf>
    <xf numFmtId="0" fontId="0" fillId="0" borderId="5" xfId="0" applyBorder="1" applyAlignment="1">
      <alignment horizontal="left" vertical="center" indent="2"/>
    </xf>
    <xf numFmtId="0" fontId="2" fillId="0" borderId="7" xfId="2" applyFont="1" applyFill="1" applyBorder="1" applyAlignment="1">
      <alignment vertical="center" wrapText="1"/>
    </xf>
    <xf numFmtId="0" fontId="2" fillId="0" borderId="8" xfId="2" applyFont="1" applyFill="1" applyBorder="1" applyAlignment="1">
      <alignment vertical="center" wrapText="1"/>
    </xf>
    <xf numFmtId="0" fontId="0" fillId="0" borderId="8" xfId="0" applyBorder="1" applyAlignment="1">
      <alignment vertical="center"/>
    </xf>
    <xf numFmtId="165" fontId="3" fillId="0" borderId="8" xfId="1" applyNumberFormat="1" applyFont="1" applyFill="1" applyBorder="1" applyAlignment="1">
      <alignment horizontal="right" vertical="center" wrapText="1"/>
    </xf>
    <xf numFmtId="0" fontId="0" fillId="0" borderId="9" xfId="0" applyBorder="1" applyAlignment="1">
      <alignment horizontal="left" vertical="center" indent="2"/>
    </xf>
    <xf numFmtId="0" fontId="0" fillId="0" borderId="11" xfId="0" applyBorder="1" applyAlignment="1">
      <alignment horizontal="left" vertical="center" indent="2"/>
    </xf>
    <xf numFmtId="0" fontId="4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0" fontId="2" fillId="0" borderId="15" xfId="2" applyFont="1" applyFill="1" applyBorder="1" applyAlignment="1">
      <alignment horizontal="left" vertical="center" wrapText="1" indent="1"/>
    </xf>
    <xf numFmtId="0" fontId="2" fillId="0" borderId="17" xfId="2" applyFont="1" applyFill="1" applyBorder="1" applyAlignment="1">
      <alignment horizontal="left" vertical="center" wrapText="1" indent="1"/>
    </xf>
    <xf numFmtId="0" fontId="2" fillId="0" borderId="18" xfId="2" applyFont="1" applyFill="1" applyBorder="1" applyAlignment="1">
      <alignment horizontal="left" vertical="center" wrapText="1" indent="1"/>
    </xf>
    <xf numFmtId="0" fontId="2" fillId="0" borderId="21" xfId="2" applyFont="1" applyFill="1" applyBorder="1" applyAlignment="1">
      <alignment vertical="center" wrapText="1"/>
    </xf>
    <xf numFmtId="0" fontId="2" fillId="0" borderId="22" xfId="2" applyFont="1" applyFill="1" applyBorder="1" applyAlignment="1">
      <alignment vertical="center" wrapText="1"/>
    </xf>
    <xf numFmtId="0" fontId="0" fillId="0" borderId="22" xfId="0" applyBorder="1" applyAlignment="1">
      <alignment vertical="center"/>
    </xf>
    <xf numFmtId="165" fontId="3" fillId="0" borderId="22" xfId="1" applyNumberFormat="1" applyFont="1" applyFill="1" applyBorder="1" applyAlignment="1">
      <alignment horizontal="right" vertical="center" wrapText="1"/>
    </xf>
    <xf numFmtId="165" fontId="6" fillId="0" borderId="3" xfId="1" applyNumberFormat="1" applyFont="1" applyFill="1" applyBorder="1" applyAlignment="1">
      <alignment horizontal="right" vertical="center" wrapText="1"/>
    </xf>
    <xf numFmtId="165" fontId="6" fillId="0" borderId="3" xfId="0" applyNumberFormat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9" fontId="0" fillId="0" borderId="5" xfId="0" applyNumberForma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165" fontId="7" fillId="0" borderId="0" xfId="0" applyNumberFormat="1" applyFont="1" applyAlignment="1">
      <alignment vertical="center"/>
    </xf>
    <xf numFmtId="0" fontId="4" fillId="0" borderId="1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3">
    <cellStyle name="Normal" xfId="0" builtinId="0"/>
    <cellStyle name="Normal_Sayfa1" xfId="2" xr:uid="{00000000-0005-0000-0000-000001000000}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zoomScale="130" zoomScaleNormal="130" workbookViewId="0">
      <selection activeCell="N4" sqref="N4"/>
    </sheetView>
  </sheetViews>
  <sheetFormatPr defaultRowHeight="15" x14ac:dyDescent="0.25"/>
  <cols>
    <col min="1" max="1" width="9.28515625" style="3" bestFit="1" customWidth="1"/>
    <col min="2" max="2" width="12.7109375" style="3" bestFit="1" customWidth="1"/>
    <col min="3" max="3" width="16.140625" style="3" bestFit="1" customWidth="1"/>
    <col min="4" max="4" width="5.28515625" style="3" bestFit="1" customWidth="1"/>
    <col min="5" max="5" width="8.28515625" style="3" bestFit="1" customWidth="1"/>
    <col min="6" max="7" width="11.140625" style="3" customWidth="1"/>
    <col min="8" max="8" width="8.85546875" style="3" bestFit="1" customWidth="1"/>
    <col min="9" max="9" width="2.7109375" style="3" bestFit="1" customWidth="1"/>
    <col min="10" max="10" width="14.5703125" style="3" bestFit="1" customWidth="1"/>
    <col min="11" max="11" width="15.7109375" style="3" customWidth="1"/>
    <col min="12" max="13" width="9.140625" style="3"/>
    <col min="14" max="14" width="11" style="3" bestFit="1" customWidth="1"/>
    <col min="15" max="16384" width="9.140625" style="3"/>
  </cols>
  <sheetData>
    <row r="1" spans="1:14" ht="39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70</v>
      </c>
      <c r="G1" s="1" t="s">
        <v>6</v>
      </c>
      <c r="H1" s="2" t="s">
        <v>7</v>
      </c>
      <c r="J1" s="2" t="s">
        <v>5</v>
      </c>
      <c r="K1" s="1" t="s">
        <v>8</v>
      </c>
      <c r="M1" s="3">
        <v>100</v>
      </c>
    </row>
    <row r="2" spans="1:14" x14ac:dyDescent="0.25">
      <c r="A2" s="4" t="s">
        <v>9</v>
      </c>
      <c r="B2" s="5" t="s">
        <v>10</v>
      </c>
      <c r="C2" s="5" t="s">
        <v>11</v>
      </c>
      <c r="D2" s="6">
        <v>8</v>
      </c>
      <c r="E2" s="7">
        <v>1600</v>
      </c>
      <c r="F2" s="28"/>
      <c r="G2" s="29"/>
      <c r="H2" s="30"/>
      <c r="I2" s="3" t="s">
        <v>12</v>
      </c>
      <c r="J2" s="8" t="s">
        <v>13</v>
      </c>
      <c r="K2" s="31">
        <v>0.05</v>
      </c>
      <c r="L2" s="3">
        <v>1</v>
      </c>
      <c r="M2" s="3">
        <f>M1*5/100</f>
        <v>5</v>
      </c>
      <c r="N2" s="3" t="str">
        <f ca="1">_xlfn.FORMULATEXT(M2)</f>
        <v>=M1*5/100</v>
      </c>
    </row>
    <row r="3" spans="1:14" x14ac:dyDescent="0.25">
      <c r="A3" s="9" t="s">
        <v>14</v>
      </c>
      <c r="B3" s="10" t="s">
        <v>15</v>
      </c>
      <c r="C3" s="10" t="s">
        <v>16</v>
      </c>
      <c r="D3" s="11">
        <v>10</v>
      </c>
      <c r="E3" s="12">
        <v>1400</v>
      </c>
      <c r="F3" s="28"/>
      <c r="G3" s="29"/>
      <c r="H3" s="30"/>
      <c r="J3" s="13" t="s">
        <v>17</v>
      </c>
      <c r="K3" s="32">
        <v>7.0000000000000007E-2</v>
      </c>
      <c r="L3" s="3">
        <v>2</v>
      </c>
      <c r="M3" s="3">
        <f>M1*0.05</f>
        <v>5</v>
      </c>
      <c r="N3" s="3" t="str">
        <f t="shared" ref="N3:N4" ca="1" si="0">_xlfn.FORMULATEXT(M3)</f>
        <v>=M1*0,05</v>
      </c>
    </row>
    <row r="4" spans="1:14" x14ac:dyDescent="0.25">
      <c r="A4" s="9" t="s">
        <v>18</v>
      </c>
      <c r="B4" s="10" t="s">
        <v>19</v>
      </c>
      <c r="C4" s="10" t="s">
        <v>20</v>
      </c>
      <c r="D4" s="11">
        <v>12</v>
      </c>
      <c r="E4" s="12">
        <v>90</v>
      </c>
      <c r="F4" s="28"/>
      <c r="G4" s="29"/>
      <c r="H4" s="30"/>
      <c r="J4" s="13" t="s">
        <v>21</v>
      </c>
      <c r="K4" s="32">
        <v>0.1</v>
      </c>
      <c r="L4" s="3">
        <v>3</v>
      </c>
      <c r="M4" s="3">
        <f>M1*5%</f>
        <v>5</v>
      </c>
      <c r="N4" s="3" t="str">
        <f t="shared" ca="1" si="0"/>
        <v>=M1*5%</v>
      </c>
    </row>
    <row r="5" spans="1:14" ht="15.75" thickBot="1" x14ac:dyDescent="0.3">
      <c r="A5" s="9" t="s">
        <v>22</v>
      </c>
      <c r="B5" s="10" t="s">
        <v>15</v>
      </c>
      <c r="C5" s="10" t="s">
        <v>20</v>
      </c>
      <c r="D5" s="11">
        <v>5</v>
      </c>
      <c r="E5" s="12">
        <v>1000</v>
      </c>
      <c r="F5" s="28"/>
      <c r="G5" s="29"/>
      <c r="H5" s="30"/>
      <c r="J5" s="14" t="s">
        <v>71</v>
      </c>
      <c r="K5" s="33">
        <v>0.15</v>
      </c>
      <c r="L5" s="34" t="s">
        <v>72</v>
      </c>
    </row>
    <row r="6" spans="1:14" ht="15.75" thickBot="1" x14ac:dyDescent="0.3">
      <c r="A6" s="9" t="s">
        <v>23</v>
      </c>
      <c r="B6" s="10" t="s">
        <v>24</v>
      </c>
      <c r="C6" s="10" t="s">
        <v>25</v>
      </c>
      <c r="D6" s="11">
        <v>20</v>
      </c>
      <c r="E6" s="12">
        <v>140</v>
      </c>
      <c r="F6" s="28"/>
      <c r="G6" s="29"/>
      <c r="H6" s="30"/>
      <c r="J6" s="16" t="s">
        <v>26</v>
      </c>
      <c r="K6" s="16" t="s">
        <v>27</v>
      </c>
      <c r="L6" s="17" t="s">
        <v>28</v>
      </c>
      <c r="M6" s="49"/>
      <c r="N6" s="49"/>
    </row>
    <row r="7" spans="1:14" ht="15.75" thickBot="1" x14ac:dyDescent="0.3">
      <c r="A7" s="9" t="s">
        <v>29</v>
      </c>
      <c r="B7" s="10" t="s">
        <v>10</v>
      </c>
      <c r="C7" s="10" t="s">
        <v>30</v>
      </c>
      <c r="D7" s="11">
        <v>5</v>
      </c>
      <c r="E7" s="12">
        <v>1500</v>
      </c>
      <c r="F7" s="28"/>
      <c r="G7" s="29"/>
      <c r="H7" s="30"/>
      <c r="I7" s="3" t="s">
        <v>31</v>
      </c>
      <c r="J7" s="18" t="s">
        <v>24</v>
      </c>
      <c r="K7" s="19" t="s">
        <v>32</v>
      </c>
      <c r="L7" s="20">
        <v>0.04</v>
      </c>
    </row>
    <row r="8" spans="1:14" ht="15.75" thickBot="1" x14ac:dyDescent="0.3">
      <c r="A8" s="9" t="s">
        <v>33</v>
      </c>
      <c r="B8" s="10" t="s">
        <v>24</v>
      </c>
      <c r="C8" s="10" t="s">
        <v>34</v>
      </c>
      <c r="D8" s="11">
        <v>5</v>
      </c>
      <c r="E8" s="12">
        <v>85</v>
      </c>
      <c r="F8" s="28"/>
      <c r="G8" s="29"/>
      <c r="H8" s="30"/>
    </row>
    <row r="9" spans="1:14" ht="15.75" thickBot="1" x14ac:dyDescent="0.3">
      <c r="A9" s="9" t="s">
        <v>35</v>
      </c>
      <c r="B9" s="10" t="s">
        <v>10</v>
      </c>
      <c r="C9" s="10" t="s">
        <v>36</v>
      </c>
      <c r="D9" s="11">
        <v>13</v>
      </c>
      <c r="E9" s="12">
        <v>500</v>
      </c>
      <c r="F9" s="28"/>
      <c r="G9" s="29"/>
      <c r="H9" s="30"/>
      <c r="J9" s="16" t="s">
        <v>37</v>
      </c>
      <c r="K9" s="50" t="s">
        <v>38</v>
      </c>
      <c r="L9" s="51"/>
    </row>
    <row r="10" spans="1:14" ht="15.75" thickBot="1" x14ac:dyDescent="0.3">
      <c r="A10" s="9" t="s">
        <v>39</v>
      </c>
      <c r="B10" s="10" t="s">
        <v>19</v>
      </c>
      <c r="C10" s="10" t="s">
        <v>40</v>
      </c>
      <c r="D10" s="11">
        <v>7</v>
      </c>
      <c r="E10" s="12">
        <v>110</v>
      </c>
      <c r="F10" s="28"/>
      <c r="G10" s="29"/>
      <c r="H10" s="30"/>
      <c r="I10" s="3" t="s">
        <v>41</v>
      </c>
      <c r="J10" s="21" t="s">
        <v>10</v>
      </c>
      <c r="K10" s="52"/>
      <c r="L10" s="53"/>
    </row>
    <row r="11" spans="1:14" ht="15.75" thickBot="1" x14ac:dyDescent="0.3">
      <c r="A11" s="9" t="s">
        <v>42</v>
      </c>
      <c r="B11" s="10" t="s">
        <v>15</v>
      </c>
      <c r="C11" s="10" t="s">
        <v>40</v>
      </c>
      <c r="D11" s="11">
        <v>8</v>
      </c>
      <c r="E11" s="12">
        <v>1200</v>
      </c>
      <c r="F11" s="28"/>
      <c r="G11" s="29"/>
      <c r="H11" s="30"/>
      <c r="J11" s="22" t="s">
        <v>15</v>
      </c>
      <c r="K11" s="52"/>
      <c r="L11" s="53"/>
    </row>
    <row r="12" spans="1:14" ht="15.75" thickBot="1" x14ac:dyDescent="0.3">
      <c r="A12" s="9" t="s">
        <v>43</v>
      </c>
      <c r="B12" s="10" t="s">
        <v>24</v>
      </c>
      <c r="C12" s="10" t="s">
        <v>44</v>
      </c>
      <c r="D12" s="11">
        <v>13</v>
      </c>
      <c r="E12" s="12">
        <v>30</v>
      </c>
      <c r="F12" s="28"/>
      <c r="G12" s="29"/>
      <c r="H12" s="30"/>
      <c r="J12" s="22" t="s">
        <v>19</v>
      </c>
      <c r="K12" s="52"/>
      <c r="L12" s="53"/>
    </row>
    <row r="13" spans="1:14" ht="15.75" thickBot="1" x14ac:dyDescent="0.3">
      <c r="A13" s="9" t="s">
        <v>45</v>
      </c>
      <c r="B13" s="10" t="s">
        <v>10</v>
      </c>
      <c r="C13" s="10" t="s">
        <v>46</v>
      </c>
      <c r="D13" s="11">
        <v>14</v>
      </c>
      <c r="E13" s="12">
        <v>700</v>
      </c>
      <c r="F13" s="28"/>
      <c r="G13" s="29"/>
      <c r="H13" s="30"/>
      <c r="J13" s="23" t="s">
        <v>24</v>
      </c>
      <c r="K13" s="52"/>
      <c r="L13" s="53"/>
    </row>
    <row r="14" spans="1:14" ht="15.75" thickBot="1" x14ac:dyDescent="0.3">
      <c r="A14" s="9" t="s">
        <v>47</v>
      </c>
      <c r="B14" s="10" t="s">
        <v>10</v>
      </c>
      <c r="C14" s="10" t="s">
        <v>48</v>
      </c>
      <c r="D14" s="11">
        <v>4</v>
      </c>
      <c r="E14" s="12">
        <v>150</v>
      </c>
      <c r="F14" s="28"/>
      <c r="G14" s="29"/>
      <c r="H14" s="30"/>
    </row>
    <row r="15" spans="1:14" x14ac:dyDescent="0.25">
      <c r="A15" s="9" t="s">
        <v>49</v>
      </c>
      <c r="B15" s="10" t="s">
        <v>10</v>
      </c>
      <c r="C15" s="10" t="s">
        <v>50</v>
      </c>
      <c r="D15" s="11">
        <v>6</v>
      </c>
      <c r="E15" s="12">
        <v>200</v>
      </c>
      <c r="F15" s="28"/>
      <c r="G15" s="29"/>
      <c r="H15" s="30"/>
      <c r="I15" s="15" t="s">
        <v>51</v>
      </c>
      <c r="J15" s="35" t="s">
        <v>52</v>
      </c>
      <c r="K15" s="36"/>
      <c r="L15" s="41"/>
    </row>
    <row r="16" spans="1:14" x14ac:dyDescent="0.25">
      <c r="A16" s="9" t="s">
        <v>53</v>
      </c>
      <c r="B16" s="10" t="s">
        <v>19</v>
      </c>
      <c r="C16" s="10" t="s">
        <v>54</v>
      </c>
      <c r="D16" s="11">
        <v>20</v>
      </c>
      <c r="E16" s="12">
        <v>100</v>
      </c>
      <c r="F16" s="28"/>
      <c r="G16" s="29"/>
      <c r="H16" s="30"/>
      <c r="J16" s="37"/>
      <c r="K16" s="38"/>
      <c r="L16" s="42"/>
    </row>
    <row r="17" spans="1:12" x14ac:dyDescent="0.25">
      <c r="A17" s="9" t="s">
        <v>55</v>
      </c>
      <c r="B17" s="10" t="s">
        <v>15</v>
      </c>
      <c r="C17" s="10" t="s">
        <v>54</v>
      </c>
      <c r="D17" s="11">
        <v>2</v>
      </c>
      <c r="E17" s="12">
        <v>1100</v>
      </c>
      <c r="F17" s="28"/>
      <c r="G17" s="29"/>
      <c r="H17" s="30"/>
      <c r="J17" s="37"/>
      <c r="K17" s="38"/>
      <c r="L17" s="42"/>
    </row>
    <row r="18" spans="1:12" ht="15.75" thickBot="1" x14ac:dyDescent="0.3">
      <c r="A18" s="9" t="s">
        <v>56</v>
      </c>
      <c r="B18" s="10" t="s">
        <v>19</v>
      </c>
      <c r="C18" s="10" t="s">
        <v>57</v>
      </c>
      <c r="D18" s="11">
        <v>12</v>
      </c>
      <c r="E18" s="12">
        <v>180</v>
      </c>
      <c r="F18" s="28"/>
      <c r="G18" s="29"/>
      <c r="H18" s="30"/>
      <c r="J18" s="39"/>
      <c r="K18" s="40"/>
      <c r="L18" s="43"/>
    </row>
    <row r="19" spans="1:12" ht="15.75" thickBot="1" x14ac:dyDescent="0.3">
      <c r="A19" s="9" t="s">
        <v>58</v>
      </c>
      <c r="B19" s="10" t="s">
        <v>24</v>
      </c>
      <c r="C19" s="10" t="s">
        <v>59</v>
      </c>
      <c r="D19" s="11">
        <v>8</v>
      </c>
      <c r="E19" s="12">
        <v>55</v>
      </c>
      <c r="F19" s="28"/>
      <c r="G19" s="29"/>
      <c r="H19" s="30"/>
    </row>
    <row r="20" spans="1:12" x14ac:dyDescent="0.25">
      <c r="A20" s="9" t="s">
        <v>60</v>
      </c>
      <c r="B20" s="10" t="s">
        <v>10</v>
      </c>
      <c r="C20" s="10" t="s">
        <v>61</v>
      </c>
      <c r="D20" s="11">
        <v>2</v>
      </c>
      <c r="E20" s="12">
        <v>1300</v>
      </c>
      <c r="F20" s="28"/>
      <c r="G20" s="29"/>
      <c r="H20" s="30"/>
      <c r="I20" s="15" t="s">
        <v>62</v>
      </c>
      <c r="J20" s="35" t="s">
        <v>63</v>
      </c>
      <c r="K20" s="44"/>
      <c r="L20" s="41"/>
    </row>
    <row r="21" spans="1:12" x14ac:dyDescent="0.25">
      <c r="A21" s="9" t="s">
        <v>64</v>
      </c>
      <c r="B21" s="10" t="s">
        <v>10</v>
      </c>
      <c r="C21" s="10" t="s">
        <v>65</v>
      </c>
      <c r="D21" s="11">
        <v>12</v>
      </c>
      <c r="E21" s="12">
        <v>2000</v>
      </c>
      <c r="F21" s="28"/>
      <c r="G21" s="29"/>
      <c r="H21" s="30"/>
      <c r="J21" s="45"/>
      <c r="K21" s="46"/>
      <c r="L21" s="42"/>
    </row>
    <row r="22" spans="1:12" x14ac:dyDescent="0.25">
      <c r="A22" s="9" t="s">
        <v>66</v>
      </c>
      <c r="B22" s="10" t="s">
        <v>24</v>
      </c>
      <c r="C22" s="10" t="s">
        <v>67</v>
      </c>
      <c r="D22" s="11">
        <v>12</v>
      </c>
      <c r="E22" s="12">
        <v>40</v>
      </c>
      <c r="F22" s="28"/>
      <c r="G22" s="29"/>
      <c r="H22" s="30"/>
      <c r="I22" s="15"/>
      <c r="J22" s="45"/>
      <c r="K22" s="46"/>
      <c r="L22" s="42"/>
    </row>
    <row r="23" spans="1:12" ht="15.75" thickBot="1" x14ac:dyDescent="0.3">
      <c r="A23" s="24" t="s">
        <v>68</v>
      </c>
      <c r="B23" s="25" t="s">
        <v>10</v>
      </c>
      <c r="C23" s="25" t="s">
        <v>69</v>
      </c>
      <c r="D23" s="26">
        <v>6</v>
      </c>
      <c r="E23" s="27">
        <v>1900</v>
      </c>
      <c r="F23" s="28"/>
      <c r="G23" s="29"/>
      <c r="H23" s="30"/>
      <c r="J23" s="47"/>
      <c r="K23" s="48"/>
      <c r="L23" s="43"/>
    </row>
  </sheetData>
  <autoFilter ref="A1:H23" xr:uid="{00000000-0001-0000-0000-000000000000}"/>
  <mergeCells count="10">
    <mergeCell ref="J15:K18"/>
    <mergeCell ref="L15:L18"/>
    <mergeCell ref="J20:K23"/>
    <mergeCell ref="L20:L23"/>
    <mergeCell ref="M6:N6"/>
    <mergeCell ref="K9:L9"/>
    <mergeCell ref="K10:L10"/>
    <mergeCell ref="K11:L11"/>
    <mergeCell ref="K12:L12"/>
    <mergeCell ref="K13:L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ÇokETopla</vt:lpstr>
      <vt:lpstr>satış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OGRETMEN</cp:lastModifiedBy>
  <dcterms:created xsi:type="dcterms:W3CDTF">2017-07-06T10:27:18Z</dcterms:created>
  <dcterms:modified xsi:type="dcterms:W3CDTF">2026-04-22T12:58:42Z</dcterms:modified>
</cp:coreProperties>
</file>