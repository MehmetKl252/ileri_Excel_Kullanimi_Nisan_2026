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İçindekiler" sheetId="1" state="visible" r:id="rId3"/>
    <sheet name="🔍 ARAMA" sheetId="2" state="visible" r:id="rId4"/>
    <sheet name="✍ METİN" sheetId="3" state="visible" r:id="rId5"/>
    <sheet name="🧠 MANTIK" sheetId="4" state="visible" r:id="rId6"/>
    <sheet name="📊 İSTATİSTİK" sheetId="5" state="visible" r:id="rId7"/>
    <sheet name="📅 TARİH" sheetId="6" state="visible" r:id="rId8"/>
    <sheet name="🔢 DİZİ" sheetId="7" state="visible" r:id="rId9"/>
    <sheet name="🏆 UYGULAMA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<sst xmlns="http://schemas.openxmlformats.org/spreadsheetml/2006/main" count="370" uniqueCount="320">
  <si>
    <t xml:space="preserve">📊 EXCEL İLERİ FORMÜL KULLANIMI – ADIM ADIM UYGULAMA</t>
  </si>
  <si>
    <t xml:space="preserve">Her sayfada gerçek veri üzerinde adım adım uygulama yapabilirsiniz.  Sarı hücreler not alanları, yeşil kutular uygulanabilir formüllerdir.</t>
  </si>
  <si>
    <t xml:space="preserve">#</t>
  </si>
  <si>
    <t xml:space="preserve">Konu</t>
  </si>
  <si>
    <t xml:space="preserve">İçerik</t>
  </si>
  <si>
    <t xml:space="preserve">Sayfa</t>
  </si>
  <si>
    <t xml:space="preserve">1</t>
  </si>
  <si>
    <t xml:space="preserve">🔍 ARAMA Formülleri</t>
  </si>
  <si>
    <t xml:space="preserve">VLOOKUP · HLOOKUP · INDEX+MATCH · XLOOKUP · IFERROR</t>
  </si>
  <si>
    <t xml:space="preserve">🔍 ARAMA</t>
  </si>
  <si>
    <t xml:space="preserve">2</t>
  </si>
  <si>
    <t xml:space="preserve">✍ METİN Formülleri</t>
  </si>
  <si>
    <t xml:space="preserve">LEFT · RIGHT · MID · FIND · REPLACE · TEXTJOIN · LEN</t>
  </si>
  <si>
    <t xml:space="preserve">✍ METİN</t>
  </si>
  <si>
    <t xml:space="preserve">3</t>
  </si>
  <si>
    <t xml:space="preserve">🧠 MANTIK Formülleri</t>
  </si>
  <si>
    <t xml:space="preserve">IF · AND · OR · IFERROR · IFS · SWITCH</t>
  </si>
  <si>
    <t xml:space="preserve">🧠 MANTIK</t>
  </si>
  <si>
    <t xml:space="preserve">4</t>
  </si>
  <si>
    <t xml:space="preserve">📊 İSTATİSTİK Formülleri</t>
  </si>
  <si>
    <t xml:space="preserve">SUMIF · AVERAGEIF · COUNTIFS · LARGE · SMALL · CORREL</t>
  </si>
  <si>
    <t xml:space="preserve">📊 İSTATİSTİK</t>
  </si>
  <si>
    <t xml:space="preserve">5</t>
  </si>
  <si>
    <t xml:space="preserve">📅 TARİH &amp; ZAMAN</t>
  </si>
  <si>
    <t xml:space="preserve">TODAY · NOW · NETWORKDAYS · WORKDAY · EDATE · EOMONTH</t>
  </si>
  <si>
    <t xml:space="preserve">📅 TARİH</t>
  </si>
  <si>
    <t xml:space="preserve">6</t>
  </si>
  <si>
    <t xml:space="preserve">🔢 DİZİ Formülleri</t>
  </si>
  <si>
    <t xml:space="preserve">UNIQUE · SORT · FILTER · SORTBY · PIVOTBY</t>
  </si>
  <si>
    <t xml:space="preserve">🔢 DİZİ</t>
  </si>
  <si>
    <t xml:space="preserve">7</t>
  </si>
  <si>
    <t xml:space="preserve">🏆 Kapsamlı Uygulama</t>
  </si>
  <si>
    <t xml:space="preserve">Tüm formüller bir arada – İkramiye Hesaplama Sistemi</t>
  </si>
  <si>
    <t xml:space="preserve">🏆 UYGULAMA</t>
  </si>
  <si>
    <t xml:space="preserve">💡 Kısayollar: Ctrl+` → Tüm formülleri göster  |  F2 → Formül düzenleme modu  |  Ctrl+End → Son hücreye git  |  Ctrl+Shift+Enter → Eski sürümlerde dizi formülü</t>
  </si>
  <si>
    <t xml:space="preserve">🔍 ARAMA FORMÜLLERI – VLOOKUP · INDEX+MATCH · IFERROR · XLOOKUP</t>
  </si>
  <si>
    <t xml:space="preserve">ÜRÜN VERİ TABLOSU</t>
  </si>
  <si>
    <t xml:space="preserve">FORMÜL UYGULAMALARI</t>
  </si>
  <si>
    <t xml:space="preserve">Ürün Kodu</t>
  </si>
  <si>
    <t xml:space="preserve">Ürün Adı</t>
  </si>
  <si>
    <t xml:space="preserve">Kategori</t>
  </si>
  <si>
    <t xml:space="preserve">Fiyat (₺)</t>
  </si>
  <si>
    <t xml:space="preserve">Stok Adedi</t>
  </si>
  <si>
    <t xml:space="preserve">DÜŞEYARA (VLOOKUP)</t>
  </si>
  <si>
    <t xml:space="preserve">Koda göre fiyat arar → 4. sütunu (Fiyat) döndürür</t>
  </si>
  <si>
    <t xml:space="preserve">U001</t>
  </si>
  <si>
    <t xml:space="preserve">Laptop Pro</t>
  </si>
  <si>
    <t xml:space="preserve">Elektronik</t>
  </si>
  <si>
    <t xml:space="preserve">▶ Formül:</t>
  </si>
  <si>
    <t xml:space="preserve">U002</t>
  </si>
  <si>
    <t xml:space="preserve">Kablosuz Fare</t>
  </si>
  <si>
    <t xml:space="preserve">Aksesuar</t>
  </si>
  <si>
    <t xml:space="preserve">Stok adedini metin olarak birleştirir</t>
  </si>
  <si>
    <t xml:space="preserve">U003</t>
  </si>
  <si>
    <t xml:space="preserve">Monitör 27"</t>
  </si>
  <si>
    <t xml:space="preserve">U004</t>
  </si>
  <si>
    <t xml:space="preserve">Klavye RGB</t>
  </si>
  <si>
    <t xml:space="preserve">İNDİS+KAÇINCI (INDEX+MATCH)</t>
  </si>
  <si>
    <t xml:space="preserve">Esnek arama: sol sütunu da arayabilir</t>
  </si>
  <si>
    <t xml:space="preserve">U005</t>
  </si>
  <si>
    <t xml:space="preserve">USB Hub 7P</t>
  </si>
  <si>
    <t xml:space="preserve">U006</t>
  </si>
  <si>
    <t xml:space="preserve">SSD 1TB</t>
  </si>
  <si>
    <t xml:space="preserve">Depolama</t>
  </si>
  <si>
    <t xml:space="preserve">İNDİS+KAÇINCI 2D (INDEX+MATCH)</t>
  </si>
  <si>
    <t xml:space="preserve">Hem satır hem sütun dinamik aranır</t>
  </si>
  <si>
    <t xml:space="preserve">U007</t>
  </si>
  <si>
    <t xml:space="preserve">Webcam HD</t>
  </si>
  <si>
    <t xml:space="preserve">U008</t>
  </si>
  <si>
    <t xml:space="preserve">Hoparlör BT</t>
  </si>
  <si>
    <t xml:space="preserve">Ses</t>
  </si>
  <si>
    <t xml:space="preserve">EĞERHATA (IFERROR)</t>
  </si>
  <si>
    <t xml:space="preserve">Geçersiz koda hata yerine mesaj gösterir</t>
  </si>
  <si>
    <t xml:space="preserve">XARAMA (365) (XLOOKUP)</t>
  </si>
  <si>
    <t xml:space="preserve">Excel 365: soldan sağa + sağdan sola arama</t>
  </si>
  <si>
    <t xml:space="preserve">✍ METİN FORMÜLLERI – LEFT · RIGHT · MID · FIND · LEN · SUBSTITUTE · TEXT</t>
  </si>
  <si>
    <t xml:space="preserve">ÇALIŞAN VERİSİ</t>
  </si>
  <si>
    <t xml:space="preserve">Tam Ad</t>
  </si>
  <si>
    <t xml:space="preserve">TC No</t>
  </si>
  <si>
    <t xml:space="preserve">E-posta</t>
  </si>
  <si>
    <t xml:space="preserve">Departman</t>
  </si>
  <si>
    <t xml:space="preserve">Ahmet Yılmaz</t>
  </si>
  <si>
    <t xml:space="preserve">12345678901</t>
  </si>
  <si>
    <t xml:space="preserve">ahmet.yilmaz@sirket.com</t>
  </si>
  <si>
    <t xml:space="preserve">Yazılım</t>
  </si>
  <si>
    <t xml:space="preserve">Zeynep Kaya</t>
  </si>
  <si>
    <t xml:space="preserve">98765432109</t>
  </si>
  <si>
    <t xml:space="preserve">zeynep.kaya@sirket.com</t>
  </si>
  <si>
    <t xml:space="preserve">Pazarlama</t>
  </si>
  <si>
    <t xml:space="preserve">Mehmet Demir</t>
  </si>
  <si>
    <t xml:space="preserve">55566677788</t>
  </si>
  <si>
    <t xml:space="preserve">mehmet.demir@sirket.com</t>
  </si>
  <si>
    <t xml:space="preserve">Muhasebe</t>
  </si>
  <si>
    <t xml:space="preserve">Fatma Şahin</t>
  </si>
  <si>
    <t xml:space="preserve">11122233344</t>
  </si>
  <si>
    <t xml:space="preserve">fatma.sahin@sirket.com</t>
  </si>
  <si>
    <t xml:space="preserve">İK</t>
  </si>
  <si>
    <t xml:space="preserve">Ali Çelik</t>
  </si>
  <si>
    <t xml:space="preserve">44455566677</t>
  </si>
  <si>
    <t xml:space="preserve">ali.celik@sirket.com</t>
  </si>
  <si>
    <t xml:space="preserve">METİN FORMÜLÜ UYGULAMALARI (İngilizce Fonksiyon → Türkçe Karşılık)</t>
  </si>
  <si>
    <t xml:space="preserve">Fonksiyon</t>
  </si>
  <si>
    <t xml:space="preserve">Türkçe Adı</t>
  </si>
  <si>
    <t xml:space="preserve">Formül Örneği</t>
  </si>
  <si>
    <t xml:space="preserve">Açıklama</t>
  </si>
  <si>
    <t xml:space="preserve">LEFT</t>
  </si>
  <si>
    <t xml:space="preserve">SOL</t>
  </si>
  <si>
    <t xml:space="preserve">Boşluktan önceki adı alır</t>
  </si>
  <si>
    <t xml:space="preserve">RIGHT</t>
  </si>
  <si>
    <t xml:space="preserve">SAĞ</t>
  </si>
  <si>
    <t xml:space="preserve">Boşluktan sonraki soyadı alır</t>
  </si>
  <si>
    <t xml:space="preserve">MID</t>
  </si>
  <si>
    <t xml:space="preserve">PARÇA</t>
  </si>
  <si>
    <t xml:space="preserve">TC ortasını maskeler</t>
  </si>
  <si>
    <t xml:space="preserve">FIND</t>
  </si>
  <si>
    <t xml:space="preserve">BUL</t>
  </si>
  <si>
    <t xml:space="preserve">@ işaretinin pozisyonunu bulur</t>
  </si>
  <si>
    <t xml:space="preserve">LEFT+FIND</t>
  </si>
  <si>
    <t xml:space="preserve">SOL+BUL</t>
  </si>
  <si>
    <t xml:space="preserve">E-postadan kullanıcı adı çıkarır</t>
  </si>
  <si>
    <t xml:space="preserve">SUBSTITUTE</t>
  </si>
  <si>
    <t xml:space="preserve">YERİNEKOY</t>
  </si>
  <si>
    <t xml:space="preserve">Domain adını değiştirir</t>
  </si>
  <si>
    <t xml:space="preserve">UPPER</t>
  </si>
  <si>
    <t xml:space="preserve">BÜYÜKHARF</t>
  </si>
  <si>
    <t xml:space="preserve">Tüm harfleri büyütür</t>
  </si>
  <si>
    <t xml:space="preserve">PROPER</t>
  </si>
  <si>
    <t xml:space="preserve">DÜZGÜNYAZ</t>
  </si>
  <si>
    <t xml:space="preserve">Her kelimenin ilk harfi büyük</t>
  </si>
  <si>
    <t xml:space="preserve">TEXT</t>
  </si>
  <si>
    <t xml:space="preserve">METİN</t>
  </si>
  <si>
    <t xml:space="preserve">Tarihi metin olarak formatlar</t>
  </si>
  <si>
    <t xml:space="preserve">LEN</t>
  </si>
  <si>
    <t xml:space="preserve">UZUNLUK</t>
  </si>
  <si>
    <t xml:space="preserve">Karakter sayısını döndürür</t>
  </si>
  <si>
    <t xml:space="preserve">CONCAT</t>
  </si>
  <si>
    <t xml:space="preserve">BİRLEŞTİR</t>
  </si>
  <si>
    <t xml:space="preserve">Dept + Soyad kimlik kodu</t>
  </si>
  <si>
    <t xml:space="preserve">TRIM</t>
  </si>
  <si>
    <t xml:space="preserve">KIRP</t>
  </si>
  <si>
    <t xml:space="preserve">Baştaki/sondaki boşlukları siler</t>
  </si>
  <si>
    <t xml:space="preserve">🧠 MANTIK FORMÜLLERI – IF · AND · OR · IFERROR · IFS · SWITCH</t>
  </si>
  <si>
    <t xml:space="preserve">SATIŞ PERFORMANS TABLOSU</t>
  </si>
  <si>
    <t xml:space="preserve">MANTIK FORMÜL UYGULAMALARI</t>
  </si>
  <si>
    <t xml:space="preserve">Temsilci</t>
  </si>
  <si>
    <t xml:space="preserve">Hedef (₺)</t>
  </si>
  <si>
    <t xml:space="preserve">Gerçekleşen (₺)</t>
  </si>
  <si>
    <t xml:space="preserve">Prim %</t>
  </si>
  <si>
    <t xml:space="preserve">Durum</t>
  </si>
  <si>
    <t xml:space="preserve">EĞER (IF)</t>
  </si>
  <si>
    <t xml:space="preserve">Tek koşul: True ise 1. değer, False ise 2. değer</t>
  </si>
  <si>
    <t xml:space="preserve">Ali Yıldız</t>
  </si>
  <si>
    <t xml:space="preserve">Selin Arslan</t>
  </si>
  <si>
    <t xml:space="preserve">VE (AND)</t>
  </si>
  <si>
    <t xml:space="preserve">Tüm koşullar DOĞRU olmalı</t>
  </si>
  <si>
    <t xml:space="preserve">Burak Öztürk</t>
  </si>
  <si>
    <t xml:space="preserve">Nur Kılıç</t>
  </si>
  <si>
    <t xml:space="preserve">VEYA (OR)</t>
  </si>
  <si>
    <t xml:space="preserve">En az bir koşul DOĞRU olmalı</t>
  </si>
  <si>
    <t xml:space="preserve">Cem Aydın</t>
  </si>
  <si>
    <t xml:space="preserve">Dila Yılmaz</t>
  </si>
  <si>
    <t xml:space="preserve">EĞERLER (IFS)</t>
  </si>
  <si>
    <t xml:space="preserve">Excel 2019+ çoklu koşul – iç içe IF ile aynı sonuç</t>
  </si>
  <si>
    <t xml:space="preserve">💡 SWITCH Formülü (Excel 365/2019+):
=SWITCH(TRUE, D5/C5&gt;=1.2,"Mükemmel", D5/C5&gt;=1,"İyi", D5/C5&gt;=0.8,"Orta","Zayıf")</t>
  </si>
  <si>
    <t xml:space="preserve">Hata oluşursa alternatif değer gösterir</t>
  </si>
  <si>
    <t xml:space="preserve">BOŞ KONTROLÜ (IF+ISBLANK)</t>
  </si>
  <si>
    <t xml:space="preserve">Boş hücre testi: veri girilmemişse uyarı</t>
  </si>
  <si>
    <t xml:space="preserve">📊 İSTATİSTİK FORMÜLLERI – SUMIF · COUNTIFS · AVERAGEIF · LARGE · CORREL</t>
  </si>
  <si>
    <t xml:space="preserve">MAĞAZA SATIŞ VERİSİ – Ocak/Şubat/Mart 2025</t>
  </si>
  <si>
    <t xml:space="preserve">İSTATİSTİK FORMÜL UYGULAMALARI</t>
  </si>
  <si>
    <t xml:space="preserve">Mağaza</t>
  </si>
  <si>
    <t xml:space="preserve">Şehir</t>
  </si>
  <si>
    <t xml:space="preserve">Ocak (₺)</t>
  </si>
  <si>
    <t xml:space="preserve">Şubat (₺)</t>
  </si>
  <si>
    <t xml:space="preserve">Mart (₺)</t>
  </si>
  <si>
    <t xml:space="preserve">Fonksiyon (TR Adı)</t>
  </si>
  <si>
    <t xml:space="preserve">Açıklama &amp; Formül</t>
  </si>
  <si>
    <t xml:space="preserve">Mağaza A</t>
  </si>
  <si>
    <t xml:space="preserve">İstanbul</t>
  </si>
  <si>
    <t xml:space="preserve">ETOPLA  (SUMIF)</t>
  </si>
  <si>
    <t xml:space="preserve">İstanbul mağazaları Ocak toplamı
=SUMIF(C5:C12,"İstanbul",D5:D12)</t>
  </si>
  <si>
    <t xml:space="preserve">Mağaza B</t>
  </si>
  <si>
    <t xml:space="preserve">Ankara</t>
  </si>
  <si>
    <t xml:space="preserve">ETOPSAY  (COUNTIF)</t>
  </si>
  <si>
    <t xml:space="preserve">Ankara mağaza sayısı
=COUNTIF(C5:C12,"Ankara")</t>
  </si>
  <si>
    <t xml:space="preserve">Mağaza C</t>
  </si>
  <si>
    <t xml:space="preserve">İzmir</t>
  </si>
  <si>
    <t xml:space="preserve">EĞERORTALAMA  (AVERAGEIF)</t>
  </si>
  <si>
    <t xml:space="preserve">70.000 üstü Ocak satışlarının ortalaması
=AVERAGEIF(D5:D12,"&gt;70000")</t>
  </si>
  <si>
    <t xml:space="preserve">Mağaza D</t>
  </si>
  <si>
    <t xml:space="preserve">ÇOKETOPLA  (SUMIFS)</t>
  </si>
  <si>
    <t xml:space="preserve">İstanbul + 90K üstü → çoklu koşul toplamı
=SUMIFS(D5:D12,C5:C12,"İstanbul",D5:D12,"&gt;90000")</t>
  </si>
  <si>
    <t xml:space="preserve">Mağaza E</t>
  </si>
  <si>
    <t xml:space="preserve">BÜYÜK  (LARGE)</t>
  </si>
  <si>
    <t xml:space="preserve">2. en yüksek Ocak satışını döndürür
=LARGE(D5:D12,2)</t>
  </si>
  <si>
    <t xml:space="preserve">Mağaza F</t>
  </si>
  <si>
    <t xml:space="preserve">Bursa</t>
  </si>
  <si>
    <t xml:space="preserve">KÜÇÜK  (SMALL)</t>
  </si>
  <si>
    <t xml:space="preserve">3. en düşük Ocak satışını döndürür
=SMALL(D5:D12,3)</t>
  </si>
  <si>
    <t xml:space="preserve">Mağaza G</t>
  </si>
  <si>
    <t xml:space="preserve">ORTALAMA  (AVERAGE)</t>
  </si>
  <si>
    <t xml:space="preserve">Tüm mağazaların Ocak ortalaması
=AVERAGE(D5:D12)</t>
  </si>
  <si>
    <t xml:space="preserve">Mağaza H</t>
  </si>
  <si>
    <t xml:space="preserve">STDSAPMA  (STDEV)</t>
  </si>
  <si>
    <t xml:space="preserve">Ocak satışları standart sapması
=STDEV(D5:D12)</t>
  </si>
  <si>
    <t xml:space="preserve">ARALIK  (MAX-MIN)</t>
  </si>
  <si>
    <t xml:space="preserve">Ocak satış değişim aralığı
=MAX(D5:D12)-MIN(D5:D12)</t>
  </si>
  <si>
    <t xml:space="preserve">YÜZDEBİRLİK  (PERCENTILE)</t>
  </si>
  <si>
    <t xml:space="preserve">75. yüzdebirlik değeri
=PERCENTILE(D5:D12,0.75)</t>
  </si>
  <si>
    <t xml:space="preserve">KORELASYON  (CORREL)</t>
  </si>
  <si>
    <t xml:space="preserve">Ocak–Şubat satışları arası korelasyon
=CORREL(D5:D12,E5:E12)</t>
  </si>
  <si>
    <t xml:space="preserve">SIRALA  (RANK)</t>
  </si>
  <si>
    <t xml:space="preserve">Mağazanın Ocak sıralaması (büyükten)
=RANK(D5,D$5:D$12,0)</t>
  </si>
  <si>
    <t xml:space="preserve">📅 TARİH &amp; ZAMAN FORMÜLLERI – TODAY · NETWORKDAYS · WORKDAY · EDATE · EOMONTH</t>
  </si>
  <si>
    <t xml:space="preserve">PROJE TAKİP TABLOSU</t>
  </si>
  <si>
    <t xml:space="preserve">TARİH FORMÜL UYGULAMALARI</t>
  </si>
  <si>
    <t xml:space="preserve">Proje Adı</t>
  </si>
  <si>
    <t xml:space="preserve">Başlangıç</t>
  </si>
  <si>
    <t xml:space="preserve">Teslim Tarihi</t>
  </si>
  <si>
    <t xml:space="preserve">Tamamlanma %</t>
  </si>
  <si>
    <t xml:space="preserve">BUGÜN()  (TODAY())</t>
  </si>
  <si>
    <t xml:space="preserve">Güncel tarihi döndürür – her açılışta güncellenir
=TODAY()</t>
  </si>
  <si>
    <t xml:space="preserve">CRM Entegrasyonu</t>
  </si>
  <si>
    <t xml:space="preserve">ŞİMDİ()  (NOW())</t>
  </si>
  <si>
    <t xml:space="preserve">Güncel tarih + saati döndürür
=NOW()</t>
  </si>
  <si>
    <t xml:space="preserve">Mobil Uygulama</t>
  </si>
  <si>
    <t xml:space="preserve">YIL/AY/GÜN  (YEAR/MONTH/DAY)</t>
  </si>
  <si>
    <t xml:space="preserve">Tarih bileşenlerini ayırır
=YEAR(C5)&amp;"/"&amp;MONTH(C5)&amp;"/"&amp;DAY(C5)</t>
  </si>
  <si>
    <t xml:space="preserve">Veri Ambarı</t>
  </si>
  <si>
    <t xml:space="preserve">Gün Farkı  (DATE diff)</t>
  </si>
  <si>
    <t xml:space="preserve">Proje toplam süresini hesaplar
=D5-C5&amp;" gün"</t>
  </si>
  <si>
    <t xml:space="preserve">ERP Geçişi</t>
  </si>
  <si>
    <t xml:space="preserve">TAMİŞGÜNÜ  (NETWORKDAYS)</t>
  </si>
  <si>
    <t xml:space="preserve">İş günü sayısı – hafta sonları hariç
=NETWORKDAYS(C5,D5)</t>
  </si>
  <si>
    <t xml:space="preserve">Web Yenileme</t>
  </si>
  <si>
    <t xml:space="preserve">İŞGÜNÜ  (WORKDAY)</t>
  </si>
  <si>
    <t xml:space="preserve">30 iş günü sonrasının tarihini hesaplar
=WORKDAY(TODAY(),30)</t>
  </si>
  <si>
    <t xml:space="preserve">EDATE  (EDATE)</t>
  </si>
  <si>
    <t xml:space="preserve">3 ay sonrasının tarihini döndürür
=EDATE(C5,3)</t>
  </si>
  <si>
    <t xml:space="preserve">AYSON  (EOMONTH)</t>
  </si>
  <si>
    <t xml:space="preserve">Geçerli ayın son gününü verir
=EOMONTH(TODAY(),0)</t>
  </si>
  <si>
    <t xml:space="preserve">Haftanın Günü  (TEXT weekday)</t>
  </si>
  <si>
    <t xml:space="preserve">Bugün haftanın hangi günü
=TEXT(TODAY(),"DDDD")</t>
  </si>
  <si>
    <t xml:space="preserve">Gecikme Hesabı  (Gecikme)</t>
  </si>
  <si>
    <t xml:space="preserve">Teslim tarihi geçmişse uyarı
=IF(TODAY()&gt;D5,TODAY()-D5&amp;" gün geç","")</t>
  </si>
  <si>
    <t xml:space="preserve">YAŞ/YIL  (DATEDIF)</t>
  </si>
  <si>
    <t xml:space="preserve">İki tarih arasındaki tam yıl sayısı
=DATEDIF(C5,TODAY(),"Y")&amp;" yıl "</t>
  </si>
  <si>
    <t xml:space="preserve">360-Gün  (DAYS360)</t>
  </si>
  <si>
    <t xml:space="preserve">360-gün takvim farkı (finans)
=DAYS360(C5,TODAY())</t>
  </si>
  <si>
    <t xml:space="preserve">🔢 DİZİ (ARRAY) FORMÜLLERI – UNIQUE · SORT · FILTER · SORTBY · SEQUENCE</t>
  </si>
  <si>
    <t xml:space="preserve">BÖLGE SATIŞ VERİSİ</t>
  </si>
  <si>
    <t xml:space="preserve">DİZİ FORMÜLLERI (Excel 365 / 2021+)</t>
  </si>
  <si>
    <t xml:space="preserve">Bölge</t>
  </si>
  <si>
    <t xml:space="preserve">Ürün Grubu</t>
  </si>
  <si>
    <t xml:space="preserve">Satış (₺)</t>
  </si>
  <si>
    <t xml:space="preserve">BENZERSİZ  (UNIQUE)</t>
  </si>
  <si>
    <t xml:space="preserve">Tekrar eden bölge isimlerini filtreler, benzersiz listeyi döker
=UNIQUE(C5:C14)</t>
  </si>
  <si>
    <t xml:space="preserve">Ayşe Kaya</t>
  </si>
  <si>
    <t xml:space="preserve">Kuzey</t>
  </si>
  <si>
    <t xml:space="preserve">SIRALA  (SORT)</t>
  </si>
  <si>
    <t xml:space="preserve">Temsilci adlarını A'dan Z'ye sıralar
=SORT(B5:B14)</t>
  </si>
  <si>
    <t xml:space="preserve">Burak Yıldız</t>
  </si>
  <si>
    <t xml:space="preserve">Güney</t>
  </si>
  <si>
    <t xml:space="preserve">Donanım</t>
  </si>
  <si>
    <t xml:space="preserve">FİLTRE  (FILTER)</t>
  </si>
  <si>
    <t xml:space="preserve">Sadece Kuzey bölgesi kayıtlarını döndürür
=FILTER(B5:E14,C5:C14="Kuzey")</t>
  </si>
  <si>
    <t xml:space="preserve">Ceren Öz</t>
  </si>
  <si>
    <t xml:space="preserve">Servis</t>
  </si>
  <si>
    <t xml:space="preserve">FİLTRE+SIRALA  (FILTER+SORT)</t>
  </si>
  <si>
    <t xml:space="preserve">Yazılım satışlarını büyükten küçüğe sıralar
=SORT(FILTER(B5:E14,D5:D14="Yazılım"),4,-1)</t>
  </si>
  <si>
    <t xml:space="preserve">Deniz Ak</t>
  </si>
  <si>
    <t xml:space="preserve">Doğu</t>
  </si>
  <si>
    <t xml:space="preserve">SIRALAMA ÖLÇ.  (SORTBY)</t>
  </si>
  <si>
    <t xml:space="preserve">Satış tutarına göre tüm tabloyu sıralar
=SORTBY(B5:E14,E5:E14,-1)</t>
  </si>
  <si>
    <t xml:space="preserve">Emre Demir</t>
  </si>
  <si>
    <t xml:space="preserve">Batı</t>
  </si>
  <si>
    <t xml:space="preserve">DIZI_OLUŞTUR  (SEQUENCE)</t>
  </si>
  <si>
    <t xml:space="preserve">1'den 5'e kadar ardışık sayı üretir
=SEQUENCE(5,1,1,1)</t>
  </si>
  <si>
    <t xml:space="preserve">Fatma Nur</t>
  </si>
  <si>
    <t xml:space="preserve">BENZERSİZ SIRALI  (UNIQUE+SORT)</t>
  </si>
  <si>
    <t xml:space="preserve">Benzersiz bölge listesini sıralı döndürür
=SORT(UNIQUE(C5:C14))</t>
  </si>
  <si>
    <t xml:space="preserve">Gökhan Can</t>
  </si>
  <si>
    <t xml:space="preserve">LET (365)  (LET)</t>
  </si>
  <si>
    <t xml:space="preserve">Ortalama üstü satışları filtreler – okunabilir formül
=LET(avg,AVERAGE(E5:E14),FILTER(B5:E14,E5:E14&gt;avg))</t>
  </si>
  <si>
    <t xml:space="preserve">Hande Şen</t>
  </si>
  <si>
    <t xml:space="preserve">ÖZET (Beta)  (PIVOTBY)</t>
  </si>
  <si>
    <t xml:space="preserve">Bölge × Ürün pivot özet tablosu (Excel 365)
=PIVOTBY(C5:C14,D5:D14,E5:E14,SUM)</t>
  </si>
  <si>
    <t xml:space="preserve">İrem Yıldız</t>
  </si>
  <si>
    <t xml:space="preserve">YATAYYIĞ  (HSTACK)</t>
  </si>
  <si>
    <t xml:space="preserve">Aralıkları yatay olarak birleştirir
=HSTACK(B5:B14,C5:C14)</t>
  </si>
  <si>
    <t xml:space="preserve">Jakub Kara</t>
  </si>
  <si>
    <t xml:space="preserve">⚠️ DİZİ FORMÜLLER Excel 365 / Excel 2021 gerektirir.
Excel 2016/2019 için Ctrl+Shift+Enter ile dizi formülü olarak giriniz: {=FORMÜL}</t>
  </si>
  <si>
    <t xml:space="preserve">🏆 KAPSAMLI UYGULAMA – İKRAMİYE HESAPLAMA SİSTEMİ (Tüm Formüller Bir Arada)</t>
  </si>
  <si>
    <t xml:space="preserve">Bu sayfa VLOOKUP + INDEX/MATCH + IFS + IF + TEXT + SUMIF + TODAY + koşullu biçimlendirme formüllerini birleştirir. G sütununu (Başarı %) seçip Koşullu Biçimlendirme → Renk Skalası uygulayın.</t>
  </si>
  <si>
    <t xml:space="preserve">PERFORMANS DÖNEMİ: Q1 2025</t>
  </si>
  <si>
    <t xml:space="preserve">Çalışan</t>
  </si>
  <si>
    <t xml:space="preserve">Başarı %</t>
  </si>
  <si>
    <t xml:space="preserve">Prim Tutarı (₺)</t>
  </si>
  <si>
    <t xml:space="preserve">Değerlendirme</t>
  </si>
  <si>
    <t xml:space="preserve">Ayşe Yılmaz</t>
  </si>
  <si>
    <t xml:space="preserve">Satış</t>
  </si>
  <si>
    <t xml:space="preserve">Berk Kaya</t>
  </si>
  <si>
    <t xml:space="preserve">Ceyda Demir</t>
  </si>
  <si>
    <t xml:space="preserve">Doruk Şahin</t>
  </si>
  <si>
    <t xml:space="preserve">IT</t>
  </si>
  <si>
    <t xml:space="preserve">Elif Arslan</t>
  </si>
  <si>
    <t xml:space="preserve">Fikret Öztürk</t>
  </si>
  <si>
    <t xml:space="preserve">Gül Çelik</t>
  </si>
  <si>
    <t xml:space="preserve">Haluk Yıldız</t>
  </si>
  <si>
    <t xml:space="preserve">İpek Kara</t>
  </si>
  <si>
    <t xml:space="preserve">Jamil Demir</t>
  </si>
  <si>
    <t xml:space="preserve">ÖZET İSTATİSTİKLER</t>
  </si>
  <si>
    <t xml:space="preserve">Toplam Hedef (₺):</t>
  </si>
  <si>
    <t xml:space="preserve">Toplam Gerçekleşen (₺):</t>
  </si>
  <si>
    <t xml:space="preserve">Toplam Prim Ödemesi (₺):</t>
  </si>
  <si>
    <t xml:space="preserve">Ortalama Başarı Oranı:</t>
  </si>
  <si>
    <t xml:space="preserve">Hedef Tutturan Çalışan Sayısı:</t>
  </si>
  <si>
    <t xml:space="preserve">En Yüksek Prim Alan:</t>
  </si>
  <si>
    <t xml:space="preserve">Rapor Tarihi:</t>
  </si>
  <si>
    <t xml:space="preserve">📌 KOŞULLUBİÇİMLENDİRME UYGULAMA: G5:G14 seçin → Giriş → Koşullu Biçimlendirme → Renk Skalası (Yeşil=Yüksek, Kırmızı=Düşük). I5:I14 için Veri Çubukları ekleyin. Bu görsel katman formül kullanmaz, tamamen Excel arayüzü üzerinden ayarlanır.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</si>
</sst>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&quot; ₺&quot;"/>
    <numFmt numFmtId="166" formatCode="General"/>
    <numFmt numFmtId="167" formatCode="0%"/>
    <numFmt numFmtId="168" formatCode="dd\.mm\.yyyy"/>
    <numFmt numFmtId="169" formatCode="0.0%"/>
    <numFmt numFmtId="170" formatCode="0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10"/>
      <color rgb="FF7F6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i val="true"/>
      <sz val="9"/>
      <color rgb="FF7F6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1F4E79"/>
      <name val="Courier New"/>
      <family val="0"/>
      <charset val="1"/>
    </font>
    <font>
      <b val="true"/>
      <sz val="10"/>
      <color rgb="FF375623"/>
      <name val="Arial"/>
      <family val="0"/>
      <charset val="1"/>
    </font>
    <font>
      <sz val="10"/>
      <color rgb="FF1F4E79"/>
      <name val="Arial"/>
      <family val="0"/>
      <charset val="1"/>
    </font>
    <font>
      <b val="true"/>
      <sz val="9"/>
      <color rgb="FF1F6B3C"/>
      <name val="Courier New"/>
      <family val="0"/>
      <charset val="1"/>
    </font>
    <font>
      <sz val="9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7F3F98"/>
      <name val="Arial"/>
      <family val="0"/>
      <charset val="1"/>
    </font>
    <font>
      <b val="true"/>
      <sz val="9"/>
      <color rgb="FF7F3F98"/>
      <name val="Courier New"/>
      <family val="0"/>
      <charset val="1"/>
    </font>
    <font>
      <sz val="9"/>
      <color rgb="FF843C0C"/>
      <name val="Courier New"/>
      <family val="0"/>
      <charset val="1"/>
    </font>
    <font>
      <sz val="9"/>
      <color rgb="FF1F4E79"/>
      <name val="Courier New"/>
      <family val="0"/>
      <charset val="1"/>
    </font>
    <font>
      <sz val="9"/>
      <color rgb="FF7030A0"/>
      <name val="Courier New"/>
      <family val="0"/>
      <charset val="1"/>
    </font>
    <font>
      <b val="true"/>
      <sz val="14"/>
      <color rgb="FFFFFFFF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EADB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E8F0FB"/>
      </patternFill>
    </fill>
    <fill>
      <patternFill patternType="solid">
        <fgColor rgb="FFE8F0FB"/>
        <bgColor rgb="FFEBF3FB"/>
      </patternFill>
    </fill>
    <fill>
      <patternFill patternType="solid">
        <fgColor rgb="FF375623"/>
        <bgColor rgb="FF404040"/>
      </patternFill>
    </fill>
    <fill>
      <patternFill patternType="solid">
        <fgColor rgb="FFF0F9F4"/>
        <bgColor rgb="FFE8F5ED"/>
      </patternFill>
    </fill>
    <fill>
      <patternFill patternType="solid">
        <fgColor rgb="FFE8F5ED"/>
        <bgColor rgb="FFEBF3FB"/>
      </patternFill>
    </fill>
    <fill>
      <patternFill patternType="solid">
        <fgColor rgb="FF7F3F98"/>
        <bgColor rgb="FF7030A0"/>
      </patternFill>
    </fill>
    <fill>
      <patternFill patternType="solid">
        <fgColor rgb="FFF4EEFF"/>
        <bgColor rgb="FFF3EEFF"/>
      </patternFill>
    </fill>
    <fill>
      <patternFill patternType="solid">
        <fgColor rgb="FFC55A11"/>
        <bgColor rgb="FF7F6000"/>
      </patternFill>
    </fill>
    <fill>
      <patternFill patternType="solid">
        <fgColor rgb="FFFFF2E8"/>
        <bgColor rgb="FFFFEADB"/>
      </patternFill>
    </fill>
    <fill>
      <patternFill patternType="solid">
        <fgColor rgb="FFFFEADB"/>
        <bgColor rgb="FFFFF2E8"/>
      </patternFill>
    </fill>
    <fill>
      <patternFill patternType="solid">
        <fgColor rgb="FF1F6B3C"/>
        <bgColor rgb="FF375623"/>
      </patternFill>
    </fill>
    <fill>
      <patternFill patternType="solid">
        <fgColor rgb="FFD4EDDA"/>
        <bgColor rgb="FFE8F5ED"/>
      </patternFill>
    </fill>
    <fill>
      <patternFill patternType="solid">
        <fgColor rgb="FF7030A0"/>
        <bgColor rgb="FF7F3F98"/>
      </patternFill>
    </fill>
    <fill>
      <patternFill patternType="solid">
        <fgColor rgb="FFF3EEFF"/>
        <bgColor rgb="FFF4EEFF"/>
      </patternFill>
    </fill>
    <fill>
      <patternFill patternType="solid">
        <fgColor rgb="FFEDE0FF"/>
        <bgColor rgb="FFF3EE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22" fillId="11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1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1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5" fillId="1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0F9F4"/>
      <rgbColor rgb="FFFF00FF"/>
      <rgbColor rgb="FF00FFFF"/>
      <rgbColor rgb="FF800000"/>
      <rgbColor rgb="FF1F6B3C"/>
      <rgbColor rgb="FF000080"/>
      <rgbColor rgb="FF7F6000"/>
      <rgbColor rgb="FF800080"/>
      <rgbColor rgb="FF008080"/>
      <rgbColor rgb="FFBFBFBF"/>
      <rgbColor rgb="FF808080"/>
      <rgbColor rgb="FF9999FF"/>
      <rgbColor rgb="FF7F3F98"/>
      <rgbColor rgb="FFFFF2CC"/>
      <rgbColor rgb="FFE8F5ED"/>
      <rgbColor rgb="FF660066"/>
      <rgbColor rgb="FFFF8080"/>
      <rgbColor rgb="FF0066CC"/>
      <rgbColor rgb="FFEDE0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B"/>
      <rgbColor rgb="FFD4EDDA"/>
      <rgbColor rgb="FFFFEADB"/>
      <rgbColor rgb="FFEBF3FB"/>
      <rgbColor rgb="FFF4EEFF"/>
      <rgbColor rgb="FFF3EEFF"/>
      <rgbColor rgb="FFFFF2E8"/>
      <rgbColor rgb="FF2E75B6"/>
      <rgbColor rgb="FF33CCCC"/>
      <rgbColor rgb="FF99CC00"/>
      <rgbColor rgb="FFFFCC00"/>
      <rgbColor rgb="FFFF9900"/>
      <rgbColor rgb="FFC55A11"/>
      <rgbColor rgb="FF595959"/>
      <rgbColor rgb="FF969696"/>
      <rgbColor rgb="FF003366"/>
      <rgbColor rgb="FF339966"/>
      <rgbColor rgb="FF003300"/>
      <rgbColor rgb="FF375623"/>
      <rgbColor rgb="FF843C0C"/>
      <rgbColor rgb="FF7030A0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38"/>
    <col collapsed="false" customWidth="true" hidden="false" outlineLevel="0" max="4" min="4" style="0" width="32"/>
    <col collapsed="false" customWidth="true" hidden="false" outlineLevel="0" max="5" min="5" style="0" width="18"/>
    <col collapsed="false" customWidth="true" hidden="false" outlineLevel="0" max="6" min="6" style="0" width="2"/>
  </cols>
  <sheetData>
    <row r="1" customFormat="false" ht="37.5" hidden="false" customHeight="true" outlineLevel="0" collapsed="false">
      <c r="B1" s="1" t="s">
        <v>0</v>
      </c>
      <c r="C1" s="1"/>
      <c r="D1" s="1"/>
      <c r="E1" s="1"/>
    </row>
    <row r="2" customFormat="false" ht="31.5" hidden="false" customHeight="true" outlineLevel="0" collapsed="false">
      <c r="B2" s="2" t="s">
        <v>1</v>
      </c>
      <c r="C2" s="2"/>
      <c r="D2" s="2"/>
      <c r="E2" s="2"/>
    </row>
    <row r="3" customFormat="false" ht="21.75" hidden="false" customHeight="true" outlineLevel="0" collapsed="false">
      <c r="B3" s="3" t="s">
        <v>2</v>
      </c>
      <c r="C3" s="3" t="s">
        <v>3</v>
      </c>
      <c r="D3" s="3" t="s">
        <v>4</v>
      </c>
      <c r="E3" s="3" t="s">
        <v>5</v>
      </c>
    </row>
    <row r="4" customFormat="false" ht="19.5" hidden="false" customHeight="true" outlineLevel="0" collapsed="false">
      <c r="B4" s="4" t="s">
        <v>6</v>
      </c>
      <c r="C4" s="5" t="s">
        <v>7</v>
      </c>
      <c r="D4" s="6" t="s">
        <v>8</v>
      </c>
      <c r="E4" s="7" t="s">
        <v>9</v>
      </c>
    </row>
    <row r="5" customFormat="false" ht="19.5" hidden="false" customHeight="true" outlineLevel="0" collapsed="false">
      <c r="B5" s="8" t="s">
        <v>10</v>
      </c>
      <c r="C5" s="9" t="s">
        <v>11</v>
      </c>
      <c r="D5" s="10" t="s">
        <v>12</v>
      </c>
      <c r="E5" s="11" t="s">
        <v>13</v>
      </c>
    </row>
    <row r="6" customFormat="false" ht="19.5" hidden="false" customHeight="true" outlineLevel="0" collapsed="false">
      <c r="B6" s="4" t="s">
        <v>14</v>
      </c>
      <c r="C6" s="5" t="s">
        <v>15</v>
      </c>
      <c r="D6" s="6" t="s">
        <v>16</v>
      </c>
      <c r="E6" s="7" t="s">
        <v>17</v>
      </c>
    </row>
    <row r="7" customFormat="false" ht="19.5" hidden="false" customHeight="true" outlineLevel="0" collapsed="false">
      <c r="B7" s="8" t="s">
        <v>18</v>
      </c>
      <c r="C7" s="9" t="s">
        <v>19</v>
      </c>
      <c r="D7" s="10" t="s">
        <v>20</v>
      </c>
      <c r="E7" s="11" t="s">
        <v>21</v>
      </c>
    </row>
    <row r="8" customFormat="false" ht="19.5" hidden="false" customHeight="true" outlineLevel="0" collapsed="false">
      <c r="B8" s="4" t="s">
        <v>22</v>
      </c>
      <c r="C8" s="5" t="s">
        <v>23</v>
      </c>
      <c r="D8" s="6" t="s">
        <v>24</v>
      </c>
      <c r="E8" s="7" t="s">
        <v>25</v>
      </c>
    </row>
    <row r="9" customFormat="false" ht="19.5" hidden="false" customHeight="true" outlineLevel="0" collapsed="false">
      <c r="B9" s="8" t="s">
        <v>26</v>
      </c>
      <c r="C9" s="9" t="s">
        <v>27</v>
      </c>
      <c r="D9" s="10" t="s">
        <v>28</v>
      </c>
      <c r="E9" s="11" t="s">
        <v>29</v>
      </c>
    </row>
    <row r="10" customFormat="false" ht="19.5" hidden="false" customHeight="true" outlineLevel="0" collapsed="false">
      <c r="B10" s="4" t="s">
        <v>30</v>
      </c>
      <c r="C10" s="5" t="s">
        <v>31</v>
      </c>
      <c r="D10" s="6" t="s">
        <v>32</v>
      </c>
      <c r="E10" s="7" t="s">
        <v>33</v>
      </c>
    </row>
    <row r="12" customFormat="false" ht="24" hidden="false" customHeight="true" outlineLevel="0" collapsed="false">
      <c r="B12" s="12" t="s">
        <v>34</v>
      </c>
      <c r="C12" s="12"/>
      <c r="D12" s="12"/>
      <c r="E12" s="12"/>
    </row>
    <row r="13" customFormat="false" ht="24" hidden="false" customHeight="true" outlineLevel="0" collapsed="false">
      <c r="B13" s="12"/>
      <c r="C13" s="12"/>
      <c r="D13" s="12"/>
      <c r="E13" s="12"/>
    </row>
  </sheetData>
  <mergeCells count="3">
    <mergeCell ref="B1:E1"/>
    <mergeCell ref="B2:E2"/>
    <mergeCell ref="B12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2"/>
    <col collapsed="false" customWidth="true" hidden="false" outlineLevel="0" max="8" min="8" style="0" width="22"/>
    <col collapsed="false" customWidth="true" hidden="false" outlineLevel="0" max="9" min="9" style="0" width="38"/>
    <col collapsed="false" customWidth="true" hidden="false" outlineLevel="0" max="10" min="10" style="0" width="2"/>
  </cols>
  <sheetData>
    <row r="1" customFormat="false" ht="31.5" hidden="false" customHeight="true" outlineLevel="0" collapsed="false">
      <c r="B1" s="13" t="s">
        <v>35</v>
      </c>
      <c r="C1" s="13"/>
      <c r="D1" s="13"/>
      <c r="E1" s="13"/>
      <c r="F1" s="13"/>
    </row>
    <row r="3" customFormat="false" ht="21.75" hidden="false" customHeight="true" outlineLevel="0" collapsed="false">
      <c r="B3" s="3" t="s">
        <v>36</v>
      </c>
      <c r="C3" s="3"/>
      <c r="D3" s="3"/>
      <c r="E3" s="3"/>
      <c r="F3" s="3"/>
      <c r="H3" s="3" t="s">
        <v>37</v>
      </c>
      <c r="I3" s="3"/>
    </row>
    <row r="4" customFormat="false" ht="18" hidden="false" customHeight="true" outlineLevel="0" collapsed="false">
      <c r="B4" s="3" t="s">
        <v>38</v>
      </c>
      <c r="C4" s="3" t="s">
        <v>39</v>
      </c>
      <c r="D4" s="3" t="s">
        <v>40</v>
      </c>
      <c r="E4" s="3" t="s">
        <v>41</v>
      </c>
      <c r="F4" s="3" t="s">
        <v>42</v>
      </c>
      <c r="H4" s="14" t="s">
        <v>43</v>
      </c>
      <c r="I4" s="15" t="s">
        <v>44</v>
      </c>
    </row>
    <row r="5" customFormat="false" ht="24" hidden="false" customHeight="true" outlineLevel="0" collapsed="false">
      <c r="B5" s="16" t="s">
        <v>45</v>
      </c>
      <c r="C5" s="16" t="s">
        <v>46</v>
      </c>
      <c r="D5" s="16" t="s">
        <v>47</v>
      </c>
      <c r="E5" s="17" t="n">
        <v>25000</v>
      </c>
      <c r="F5" s="16" t="n">
        <v>15</v>
      </c>
      <c r="H5" s="18" t="s">
        <v>48</v>
      </c>
      <c r="I5" s="19" t="n">
        <f aca="false">VLOOKUP("U003",B5:F12,4,0)</f>
        <v>8500</v>
      </c>
    </row>
    <row r="6" customFormat="false" ht="18" hidden="false" customHeight="true" outlineLevel="0" collapsed="false">
      <c r="B6" s="20" t="s">
        <v>49</v>
      </c>
      <c r="C6" s="20" t="s">
        <v>50</v>
      </c>
      <c r="D6" s="20" t="s">
        <v>51</v>
      </c>
      <c r="E6" s="21" t="n">
        <v>450</v>
      </c>
      <c r="F6" s="20" t="n">
        <v>120</v>
      </c>
      <c r="H6" s="14" t="s">
        <v>43</v>
      </c>
      <c r="I6" s="15" t="s">
        <v>52</v>
      </c>
    </row>
    <row r="7" customFormat="false" ht="24" hidden="false" customHeight="true" outlineLevel="0" collapsed="false">
      <c r="B7" s="16" t="s">
        <v>53</v>
      </c>
      <c r="C7" s="16" t="s">
        <v>54</v>
      </c>
      <c r="D7" s="16" t="s">
        <v>47</v>
      </c>
      <c r="E7" s="17" t="n">
        <v>8500</v>
      </c>
      <c r="F7" s="16" t="n">
        <v>30</v>
      </c>
      <c r="H7" s="18" t="s">
        <v>48</v>
      </c>
      <c r="I7" s="19" t="str">
        <f aca="false">VLOOKUP("U001",B5:F12,5,0)&amp;" adet"</f>
        <v>15 adet</v>
      </c>
    </row>
    <row r="8" customFormat="false" ht="18" hidden="false" customHeight="true" outlineLevel="0" collapsed="false">
      <c r="B8" s="20" t="s">
        <v>55</v>
      </c>
      <c r="C8" s="20" t="s">
        <v>56</v>
      </c>
      <c r="D8" s="20" t="s">
        <v>51</v>
      </c>
      <c r="E8" s="21" t="n">
        <v>1200</v>
      </c>
      <c r="F8" s="20" t="n">
        <v>75</v>
      </c>
      <c r="H8" s="14" t="s">
        <v>57</v>
      </c>
      <c r="I8" s="15" t="s">
        <v>58</v>
      </c>
    </row>
    <row r="9" customFormat="false" ht="24" hidden="false" customHeight="true" outlineLevel="0" collapsed="false">
      <c r="B9" s="16" t="s">
        <v>59</v>
      </c>
      <c r="C9" s="16" t="s">
        <v>60</v>
      </c>
      <c r="D9" s="16" t="s">
        <v>51</v>
      </c>
      <c r="E9" s="17" t="n">
        <v>650</v>
      </c>
      <c r="F9" s="16" t="n">
        <v>200</v>
      </c>
      <c r="H9" s="18" t="s">
        <v>48</v>
      </c>
      <c r="I9" s="19" t="str">
        <f aca="false">INDEX(C5:C12,MATCH("U006",B5:B12,0))</f>
        <v>SSD 1TB</v>
      </c>
    </row>
    <row r="10" customFormat="false" ht="18" hidden="false" customHeight="true" outlineLevel="0" collapsed="false">
      <c r="B10" s="20" t="s">
        <v>61</v>
      </c>
      <c r="C10" s="20" t="s">
        <v>62</v>
      </c>
      <c r="D10" s="20" t="s">
        <v>63</v>
      </c>
      <c r="E10" s="21" t="n">
        <v>3200</v>
      </c>
      <c r="F10" s="20" t="n">
        <v>50</v>
      </c>
      <c r="H10" s="14" t="s">
        <v>64</v>
      </c>
      <c r="I10" s="15" t="s">
        <v>65</v>
      </c>
    </row>
    <row r="11" customFormat="false" ht="24" hidden="false" customHeight="true" outlineLevel="0" collapsed="false">
      <c r="B11" s="16" t="s">
        <v>66</v>
      </c>
      <c r="C11" s="16" t="s">
        <v>67</v>
      </c>
      <c r="D11" s="16" t="s">
        <v>47</v>
      </c>
      <c r="E11" s="17" t="n">
        <v>980</v>
      </c>
      <c r="F11" s="16" t="n">
        <v>40</v>
      </c>
      <c r="H11" s="18" t="s">
        <v>48</v>
      </c>
      <c r="I11" s="22" t="n">
        <f aca="false">INDEX(B5:F12,MATCH("U004",B5:B12,0),MATCH("Fiyat (₺)",B4:F4,0))</f>
        <v>1200</v>
      </c>
    </row>
    <row r="12" customFormat="false" ht="18" hidden="false" customHeight="true" outlineLevel="0" collapsed="false">
      <c r="B12" s="20" t="s">
        <v>68</v>
      </c>
      <c r="C12" s="20" t="s">
        <v>69</v>
      </c>
      <c r="D12" s="20" t="s">
        <v>70</v>
      </c>
      <c r="E12" s="21" t="n">
        <v>2100</v>
      </c>
      <c r="F12" s="20" t="n">
        <v>25</v>
      </c>
      <c r="H12" s="14" t="s">
        <v>71</v>
      </c>
      <c r="I12" s="15" t="s">
        <v>72</v>
      </c>
    </row>
    <row r="13" customFormat="false" ht="24" hidden="false" customHeight="true" outlineLevel="0" collapsed="false">
      <c r="H13" s="18" t="s">
        <v>48</v>
      </c>
      <c r="I13" s="19" t="str">
        <f aca="false">IFERROR(VLOOKUP("U099",B5:F12,2,0),"Ürün Bulunamadı")</f>
        <v>Ürün Bulunamadı</v>
      </c>
    </row>
    <row r="14" customFormat="false" ht="18" hidden="false" customHeight="true" outlineLevel="0" collapsed="false">
      <c r="H14" s="14" t="s">
        <v>73</v>
      </c>
      <c r="I14" s="15" t="s">
        <v>74</v>
      </c>
    </row>
    <row r="15" customFormat="false" ht="24" hidden="false" customHeight="true" outlineLevel="0" collapsed="false">
      <c r="H15" s="18" t="s">
        <v>48</v>
      </c>
      <c r="I15" s="19" t="str">
        <f aca="false">IFERROR(VLOOKUP("U005",B5:B12,2,0),"Bulunamadı")</f>
        <v>Bulunamadı</v>
      </c>
    </row>
  </sheetData>
  <mergeCells count="3">
    <mergeCell ref="B1:F1"/>
    <mergeCell ref="B3:F3"/>
    <mergeCell ref="H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5" min="2" style="0" width="22"/>
    <col collapsed="false" customWidth="true" hidden="false" outlineLevel="0" max="6" min="6" style="0" width="2"/>
  </cols>
  <sheetData>
    <row r="1" customFormat="false" ht="31.5" hidden="false" customHeight="true" outlineLevel="0" collapsed="false">
      <c r="B1" s="13" t="s">
        <v>75</v>
      </c>
      <c r="C1" s="13"/>
      <c r="D1" s="13"/>
      <c r="E1" s="13"/>
    </row>
    <row r="3" customFormat="false" ht="15" hidden="false" customHeight="false" outlineLevel="0" collapsed="false">
      <c r="B3" s="3" t="s">
        <v>76</v>
      </c>
      <c r="C3" s="3"/>
      <c r="D3" s="3"/>
      <c r="E3" s="3"/>
    </row>
    <row r="4" customFormat="false" ht="15" hidden="false" customHeight="false" outlineLevel="0" collapsed="false">
      <c r="B4" s="3" t="s">
        <v>77</v>
      </c>
      <c r="C4" s="3" t="s">
        <v>78</v>
      </c>
      <c r="D4" s="3" t="s">
        <v>79</v>
      </c>
      <c r="E4" s="3" t="s">
        <v>80</v>
      </c>
    </row>
    <row r="5" customFormat="false" ht="18" hidden="false" customHeight="true" outlineLevel="0" collapsed="false">
      <c r="B5" s="16" t="s">
        <v>81</v>
      </c>
      <c r="C5" s="16" t="s">
        <v>82</v>
      </c>
      <c r="D5" s="16" t="s">
        <v>83</v>
      </c>
      <c r="E5" s="16" t="s">
        <v>84</v>
      </c>
    </row>
    <row r="6" customFormat="false" ht="18" hidden="false" customHeight="true" outlineLevel="0" collapsed="false">
      <c r="B6" s="20" t="s">
        <v>85</v>
      </c>
      <c r="C6" s="20" t="s">
        <v>86</v>
      </c>
      <c r="D6" s="20" t="s">
        <v>87</v>
      </c>
      <c r="E6" s="20" t="s">
        <v>88</v>
      </c>
    </row>
    <row r="7" customFormat="false" ht="18" hidden="false" customHeight="true" outlineLevel="0" collapsed="false">
      <c r="B7" s="16" t="s">
        <v>89</v>
      </c>
      <c r="C7" s="16" t="s">
        <v>90</v>
      </c>
      <c r="D7" s="16" t="s">
        <v>91</v>
      </c>
      <c r="E7" s="16" t="s">
        <v>92</v>
      </c>
    </row>
    <row r="8" customFormat="false" ht="18" hidden="false" customHeight="true" outlineLevel="0" collapsed="false">
      <c r="B8" s="20" t="s">
        <v>93</v>
      </c>
      <c r="C8" s="20" t="s">
        <v>94</v>
      </c>
      <c r="D8" s="20" t="s">
        <v>95</v>
      </c>
      <c r="E8" s="20" t="s">
        <v>96</v>
      </c>
    </row>
    <row r="9" customFormat="false" ht="18" hidden="false" customHeight="true" outlineLevel="0" collapsed="false">
      <c r="B9" s="16" t="s">
        <v>97</v>
      </c>
      <c r="C9" s="16" t="s">
        <v>98</v>
      </c>
      <c r="D9" s="16" t="s">
        <v>99</v>
      </c>
      <c r="E9" s="16" t="s">
        <v>84</v>
      </c>
    </row>
    <row r="11" customFormat="false" ht="21.75" hidden="false" customHeight="true" outlineLevel="0" collapsed="false">
      <c r="B11" s="3" t="s">
        <v>100</v>
      </c>
      <c r="C11" s="3"/>
      <c r="D11" s="3"/>
      <c r="E11" s="3"/>
    </row>
    <row r="12" customFormat="false" ht="19.5" hidden="false" customHeight="true" outlineLevel="0" collapsed="false">
      <c r="B12" s="23" t="s">
        <v>101</v>
      </c>
      <c r="C12" s="23" t="s">
        <v>102</v>
      </c>
      <c r="D12" s="23" t="s">
        <v>103</v>
      </c>
      <c r="E12" s="23" t="s">
        <v>104</v>
      </c>
    </row>
    <row r="13" customFormat="false" ht="21.75" hidden="false" customHeight="true" outlineLevel="0" collapsed="false">
      <c r="B13" s="24" t="s">
        <v>105</v>
      </c>
      <c r="C13" s="25" t="s">
        <v>106</v>
      </c>
      <c r="D13" s="26" t="str">
        <f aca="false">LEFT(B5,FIND(" ",B5)-1)</f>
        <v>Ahmet</v>
      </c>
      <c r="E13" s="27" t="s">
        <v>107</v>
      </c>
    </row>
    <row r="14" customFormat="false" ht="21.75" hidden="false" customHeight="true" outlineLevel="0" collapsed="false">
      <c r="B14" s="28" t="s">
        <v>108</v>
      </c>
      <c r="C14" s="29" t="s">
        <v>109</v>
      </c>
      <c r="D14" s="30" t="str">
        <f aca="false">RIGHT(B5,LEN(B5)-FIND(" ",B5))</f>
        <v>Yılmaz</v>
      </c>
      <c r="E14" s="31" t="s">
        <v>110</v>
      </c>
    </row>
    <row r="15" customFormat="false" ht="21.75" hidden="false" customHeight="true" outlineLevel="0" collapsed="false">
      <c r="B15" s="24" t="s">
        <v>111</v>
      </c>
      <c r="C15" s="25" t="s">
        <v>112</v>
      </c>
      <c r="D15" s="26" t="str">
        <f aca="false">LEFT(C5,3)&amp;"****"&amp;RIGHT(C5,4)</f>
        <v>123****8901</v>
      </c>
      <c r="E15" s="27" t="s">
        <v>113</v>
      </c>
    </row>
    <row r="16" customFormat="false" ht="21.75" hidden="false" customHeight="true" outlineLevel="0" collapsed="false">
      <c r="B16" s="28" t="s">
        <v>114</v>
      </c>
      <c r="C16" s="29" t="s">
        <v>115</v>
      </c>
      <c r="D16" s="30" t="n">
        <f aca="false">FIND("@",D5)</f>
        <v>13</v>
      </c>
      <c r="E16" s="31" t="s">
        <v>116</v>
      </c>
    </row>
    <row r="17" customFormat="false" ht="21.75" hidden="false" customHeight="true" outlineLevel="0" collapsed="false">
      <c r="B17" s="24" t="s">
        <v>117</v>
      </c>
      <c r="C17" s="25" t="s">
        <v>118</v>
      </c>
      <c r="D17" s="26" t="str">
        <f aca="false">LEFT(D5,FIND("@",D5)-1)</f>
        <v>ahmet.yilmaz</v>
      </c>
      <c r="E17" s="27" t="s">
        <v>119</v>
      </c>
    </row>
    <row r="18" customFormat="false" ht="21.75" hidden="false" customHeight="true" outlineLevel="0" collapsed="false">
      <c r="B18" s="28" t="s">
        <v>120</v>
      </c>
      <c r="C18" s="29" t="s">
        <v>121</v>
      </c>
      <c r="D18" s="30" t="str">
        <f aca="false">SUBSTITUTE(D5,"@sirket.com","@yenisirket.com")</f>
        <v>ahmet.yilmaz@yenisirket.com</v>
      </c>
      <c r="E18" s="31" t="s">
        <v>122</v>
      </c>
    </row>
    <row r="19" customFormat="false" ht="21.75" hidden="false" customHeight="true" outlineLevel="0" collapsed="false">
      <c r="B19" s="24" t="s">
        <v>123</v>
      </c>
      <c r="C19" s="25" t="s">
        <v>124</v>
      </c>
      <c r="D19" s="26" t="str">
        <f aca="false">UPPER(B5)</f>
        <v>AHMET YILMAZ</v>
      </c>
      <c r="E19" s="27" t="s">
        <v>125</v>
      </c>
    </row>
    <row r="20" customFormat="false" ht="21.75" hidden="false" customHeight="true" outlineLevel="0" collapsed="false">
      <c r="B20" s="28" t="s">
        <v>126</v>
      </c>
      <c r="C20" s="29" t="s">
        <v>127</v>
      </c>
      <c r="D20" s="30" t="str">
        <f aca="false">PROPER(LOWER(B5))</f>
        <v>Ahmet Yılmaz</v>
      </c>
      <c r="E20" s="31" t="s">
        <v>128</v>
      </c>
    </row>
    <row r="21" customFormat="false" ht="21.75" hidden="false" customHeight="true" outlineLevel="0" collapsed="false">
      <c r="B21" s="24" t="s">
        <v>129</v>
      </c>
      <c r="C21" s="25" t="s">
        <v>130</v>
      </c>
      <c r="D21" s="26" t="str">
        <f aca="true">TEXT(TODAY(),"DD.MM.YYYY")</f>
        <v>06.04.2026</v>
      </c>
      <c r="E21" s="27" t="s">
        <v>131</v>
      </c>
    </row>
    <row r="22" customFormat="false" ht="21.75" hidden="false" customHeight="true" outlineLevel="0" collapsed="false">
      <c r="B22" s="28" t="s">
        <v>132</v>
      </c>
      <c r="C22" s="29" t="s">
        <v>133</v>
      </c>
      <c r="D22" s="30" t="n">
        <f aca="false">LEN(D5)</f>
        <v>23</v>
      </c>
      <c r="E22" s="31" t="s">
        <v>134</v>
      </c>
    </row>
    <row r="23" customFormat="false" ht="21.75" hidden="false" customHeight="true" outlineLevel="0" collapsed="false">
      <c r="B23" s="24" t="s">
        <v>135</v>
      </c>
      <c r="C23" s="25" t="s">
        <v>136</v>
      </c>
      <c r="D23" s="26" t="str">
        <f aca="false">E5&amp;"-"&amp;LEFT(B5,1)&amp;RIGHT(B5,LEN(B5)-FIND(" ",B5))</f>
        <v>Yazılım-AYılmaz</v>
      </c>
      <c r="E23" s="27" t="s">
        <v>137</v>
      </c>
    </row>
    <row r="24" customFormat="false" ht="21.75" hidden="false" customHeight="true" outlineLevel="0" collapsed="false">
      <c r="B24" s="28" t="s">
        <v>138</v>
      </c>
      <c r="C24" s="29" t="s">
        <v>139</v>
      </c>
      <c r="D24" s="30" t="str">
        <f aca="false">TRIM(B5)</f>
        <v>Ahmet Yılmaz</v>
      </c>
      <c r="E24" s="31" t="s">
        <v>140</v>
      </c>
    </row>
  </sheetData>
  <mergeCells count="3">
    <mergeCell ref="B1:E1"/>
    <mergeCell ref="B3:E3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4" min="3" style="0" width="14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2"/>
    <col collapsed="false" customWidth="true" hidden="false" outlineLevel="0" max="8" min="8" style="0" width="22"/>
    <col collapsed="false" customWidth="true" hidden="false" outlineLevel="0" max="9" min="9" style="0" width="38"/>
    <col collapsed="false" customWidth="true" hidden="false" outlineLevel="0" max="10" min="10" style="0" width="2"/>
  </cols>
  <sheetData>
    <row r="1" customFormat="false" ht="31.5" hidden="false" customHeight="true" outlineLevel="0" collapsed="false">
      <c r="B1" s="13" t="s">
        <v>141</v>
      </c>
      <c r="C1" s="13"/>
      <c r="D1" s="13"/>
      <c r="E1" s="13"/>
      <c r="F1" s="13"/>
    </row>
    <row r="3" customFormat="false" ht="21.75" hidden="false" customHeight="true" outlineLevel="0" collapsed="false">
      <c r="B3" s="3" t="s">
        <v>142</v>
      </c>
      <c r="C3" s="3"/>
      <c r="D3" s="3"/>
      <c r="E3" s="3"/>
      <c r="F3" s="3"/>
      <c r="H3" s="3" t="s">
        <v>143</v>
      </c>
      <c r="I3" s="3"/>
    </row>
    <row r="4" customFormat="false" ht="18" hidden="false" customHeight="true" outlineLevel="0" collapsed="false">
      <c r="B4" s="3" t="s">
        <v>144</v>
      </c>
      <c r="C4" s="3" t="s">
        <v>145</v>
      </c>
      <c r="D4" s="3" t="s">
        <v>146</v>
      </c>
      <c r="E4" s="3" t="s">
        <v>147</v>
      </c>
      <c r="F4" s="3" t="s">
        <v>148</v>
      </c>
      <c r="H4" s="32" t="s">
        <v>149</v>
      </c>
      <c r="I4" s="15" t="s">
        <v>150</v>
      </c>
    </row>
    <row r="5" customFormat="false" ht="24" hidden="false" customHeight="true" outlineLevel="0" collapsed="false">
      <c r="B5" s="16" t="s">
        <v>151</v>
      </c>
      <c r="C5" s="17" t="n">
        <v>150000</v>
      </c>
      <c r="D5" s="17" t="n">
        <v>172000</v>
      </c>
      <c r="E5" s="33" t="n">
        <f aca="false">IF(D5/C5&gt;=1.2,0.2,IF(D5/C5&gt;=1.1,0.15,IF(D5/C5&gt;=1,0.1,IF(D5/C5&gt;=0.9,0.05,0))))</f>
        <v>0.15</v>
      </c>
      <c r="F5" s="34" t="str">
        <f aca="false">IF(D5&gt;=C5,"✅ Hedef Tutturuldu","⚠️ Hedef Altı")</f>
        <v>✅ Hedef Tutturuldu</v>
      </c>
      <c r="H5" s="35" t="s">
        <v>48</v>
      </c>
      <c r="I5" s="36" t="str">
        <f aca="false">IF(D5&gt;=C5,"Başarılı","Başarısız")</f>
        <v>Başarılı</v>
      </c>
    </row>
    <row r="6" customFormat="false" ht="18" hidden="false" customHeight="true" outlineLevel="0" collapsed="false">
      <c r="B6" s="20" t="s">
        <v>152</v>
      </c>
      <c r="C6" s="21" t="n">
        <v>120000</v>
      </c>
      <c r="D6" s="21" t="n">
        <v>95000</v>
      </c>
      <c r="E6" s="37" t="n">
        <f aca="false">IF(D6/C6&gt;=1.2,0.2,IF(D6/C6&gt;=1.1,0.15,IF(D6/C6&gt;=1,0.1,IF(D6/C6&gt;=0.9,0.05,0))))</f>
        <v>0</v>
      </c>
      <c r="F6" s="38" t="str">
        <f aca="false">IF(D6&gt;=C6,"✅ Hedef Tutturuldu","⚠️ Hedef Altı")</f>
        <v>⚠️ Hedef Altı</v>
      </c>
      <c r="H6" s="32" t="s">
        <v>153</v>
      </c>
      <c r="I6" s="15" t="s">
        <v>154</v>
      </c>
    </row>
    <row r="7" customFormat="false" ht="24" hidden="false" customHeight="true" outlineLevel="0" collapsed="false">
      <c r="B7" s="16" t="s">
        <v>155</v>
      </c>
      <c r="C7" s="17" t="n">
        <v>180000</v>
      </c>
      <c r="D7" s="17" t="n">
        <v>180000</v>
      </c>
      <c r="E7" s="33" t="n">
        <f aca="false">IF(D7/C7&gt;=1.2,0.2,IF(D7/C7&gt;=1.1,0.15,IF(D7/C7&gt;=1,0.1,IF(D7/C7&gt;=0.9,0.05,0))))</f>
        <v>0.1</v>
      </c>
      <c r="F7" s="34" t="str">
        <f aca="false">IF(D7&gt;=C7,"✅ Hedef Tutturuldu","⚠️ Hedef Altı")</f>
        <v>✅ Hedef Tutturuldu</v>
      </c>
      <c r="H7" s="35" t="s">
        <v>48</v>
      </c>
      <c r="I7" s="36" t="str">
        <f aca="false">IF(AND(D5&gt;=C5,D5&gt;100000),"Süper","Normal")</f>
        <v>Süper</v>
      </c>
    </row>
    <row r="8" customFormat="false" ht="18" hidden="false" customHeight="true" outlineLevel="0" collapsed="false">
      <c r="B8" s="20" t="s">
        <v>156</v>
      </c>
      <c r="C8" s="21" t="n">
        <v>100000</v>
      </c>
      <c r="D8" s="21" t="n">
        <v>130000</v>
      </c>
      <c r="E8" s="37" t="n">
        <f aca="false">IF(D8/C8&gt;=1.2,0.2,IF(D8/C8&gt;=1.1,0.15,IF(D8/C8&gt;=1,0.1,IF(D8/C8&gt;=0.9,0.05,0))))</f>
        <v>0.2</v>
      </c>
      <c r="F8" s="38" t="str">
        <f aca="false">IF(D8&gt;=C8,"✅ Hedef Tutturuldu","⚠️ Hedef Altı")</f>
        <v>✅ Hedef Tutturuldu</v>
      </c>
      <c r="H8" s="32" t="s">
        <v>157</v>
      </c>
      <c r="I8" s="15" t="s">
        <v>158</v>
      </c>
    </row>
    <row r="9" customFormat="false" ht="24" hidden="false" customHeight="true" outlineLevel="0" collapsed="false">
      <c r="B9" s="16" t="s">
        <v>159</v>
      </c>
      <c r="C9" s="17" t="n">
        <v>160000</v>
      </c>
      <c r="D9" s="17" t="n">
        <v>88000</v>
      </c>
      <c r="E9" s="33" t="n">
        <f aca="false">IF(D9/C9&gt;=1.2,0.2,IF(D9/C9&gt;=1.1,0.15,IF(D9/C9&gt;=1,0.1,IF(D9/C9&gt;=0.9,0.05,0))))</f>
        <v>0</v>
      </c>
      <c r="F9" s="34" t="str">
        <f aca="false">IF(D9&gt;=C9,"✅ Hedef Tutturuldu","⚠️ Hedef Altı")</f>
        <v>⚠️ Hedef Altı</v>
      </c>
      <c r="H9" s="35" t="s">
        <v>48</v>
      </c>
      <c r="I9" s="36" t="str">
        <f aca="false">IF(OR(D5&gt;180000,D5/C5&gt;1.2),"Mükemmel","İyi")</f>
        <v>İyi</v>
      </c>
    </row>
    <row r="10" customFormat="false" ht="18" hidden="false" customHeight="true" outlineLevel="0" collapsed="false">
      <c r="B10" s="20" t="s">
        <v>160</v>
      </c>
      <c r="C10" s="21" t="n">
        <v>140000</v>
      </c>
      <c r="D10" s="21" t="n">
        <v>155000</v>
      </c>
      <c r="E10" s="37" t="n">
        <f aca="false">IF(D10/C10&gt;=1.2,0.2,IF(D10/C10&gt;=1.1,0.15,IF(D10/C10&gt;=1,0.1,IF(D10/C10&gt;=0.9,0.05,0))))</f>
        <v>0.15</v>
      </c>
      <c r="F10" s="38" t="str">
        <f aca="false">IF(D10&gt;=C10,"✅ Hedef Tutturuldu","⚠️ Hedef Altı")</f>
        <v>✅ Hedef Tutturuldu</v>
      </c>
      <c r="H10" s="32" t="s">
        <v>161</v>
      </c>
      <c r="I10" s="15" t="s">
        <v>162</v>
      </c>
    </row>
    <row r="11" customFormat="false" ht="24" hidden="false" customHeight="true" outlineLevel="0" collapsed="false">
      <c r="H11" s="35" t="s">
        <v>48</v>
      </c>
      <c r="I11" s="36" t="str">
        <f aca="false">IF(D5/C5&gt;=1.2,"Mukemmel",IF(D5/C5&gt;=1,"Iyi",IF(D5/C5&gt;=0.8,"Orta","Zayif")))</f>
        <v>Iyi</v>
      </c>
    </row>
    <row r="12" customFormat="false" ht="24" hidden="false" customHeight="true" outlineLevel="0" collapsed="false">
      <c r="B12" s="12" t="s">
        <v>163</v>
      </c>
      <c r="C12" s="12"/>
      <c r="D12" s="12"/>
      <c r="E12" s="12"/>
      <c r="F12" s="12"/>
      <c r="H12" s="32" t="s">
        <v>71</v>
      </c>
      <c r="I12" s="15" t="s">
        <v>164</v>
      </c>
    </row>
    <row r="13" customFormat="false" ht="24" hidden="false" customHeight="true" outlineLevel="0" collapsed="false">
      <c r="B13" s="12"/>
      <c r="C13" s="12"/>
      <c r="D13" s="12"/>
      <c r="E13" s="12"/>
      <c r="F13" s="12"/>
      <c r="H13" s="35" t="s">
        <v>48</v>
      </c>
      <c r="I13" s="36" t="n">
        <f aca="false">IFERROR(D5/C5,"Veri Yok")</f>
        <v>1.14666666666667</v>
      </c>
    </row>
    <row r="14" customFormat="false" ht="18" hidden="false" customHeight="true" outlineLevel="0" collapsed="false">
      <c r="H14" s="32" t="s">
        <v>165</v>
      </c>
      <c r="I14" s="15" t="s">
        <v>166</v>
      </c>
    </row>
    <row r="15" customFormat="false" ht="24" hidden="false" customHeight="true" outlineLevel="0" collapsed="false">
      <c r="H15" s="39" t="s">
        <v>48</v>
      </c>
      <c r="I15" s="40" t="n">
        <f aca="false">IF(ISBLANK(D5),"Lütfen Girin",D5/C5)</f>
        <v>1.14666666666667</v>
      </c>
    </row>
  </sheetData>
  <mergeCells count="4">
    <mergeCell ref="B1:F1"/>
    <mergeCell ref="B3:F3"/>
    <mergeCell ref="H3:I3"/>
    <mergeCell ref="B12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6" min="4" style="0" width="14"/>
    <col collapsed="false" customWidth="true" hidden="false" outlineLevel="0" max="7" min="7" style="0" width="2"/>
    <col collapsed="false" customWidth="true" hidden="false" outlineLevel="0" max="8" min="8" style="0" width="22"/>
    <col collapsed="false" customWidth="true" hidden="false" outlineLevel="0" max="9" min="9" style="0" width="38"/>
    <col collapsed="false" customWidth="true" hidden="false" outlineLevel="0" max="10" min="10" style="0" width="2"/>
  </cols>
  <sheetData>
    <row r="1" customFormat="false" ht="31.5" hidden="false" customHeight="true" outlineLevel="0" collapsed="false">
      <c r="B1" s="13" t="s">
        <v>167</v>
      </c>
      <c r="C1" s="13"/>
      <c r="D1" s="13"/>
      <c r="E1" s="13"/>
      <c r="F1" s="13"/>
    </row>
    <row r="3" customFormat="false" ht="21.75" hidden="false" customHeight="true" outlineLevel="0" collapsed="false">
      <c r="B3" s="3" t="s">
        <v>168</v>
      </c>
      <c r="C3" s="3"/>
      <c r="D3" s="3"/>
      <c r="E3" s="3"/>
      <c r="F3" s="3"/>
      <c r="H3" s="3" t="s">
        <v>169</v>
      </c>
      <c r="I3" s="3"/>
    </row>
    <row r="4" customFormat="false" ht="19.5" hidden="false" customHeight="true" outlineLevel="0" collapsed="false">
      <c r="B4" s="3" t="s">
        <v>170</v>
      </c>
      <c r="C4" s="3" t="s">
        <v>171</v>
      </c>
      <c r="D4" s="3" t="s">
        <v>172</v>
      </c>
      <c r="E4" s="3" t="s">
        <v>173</v>
      </c>
      <c r="F4" s="3" t="s">
        <v>174</v>
      </c>
      <c r="H4" s="41" t="s">
        <v>175</v>
      </c>
      <c r="I4" s="41" t="s">
        <v>176</v>
      </c>
    </row>
    <row r="5" customFormat="false" ht="30" hidden="false" customHeight="true" outlineLevel="0" collapsed="false">
      <c r="B5" s="16" t="s">
        <v>177</v>
      </c>
      <c r="C5" s="16" t="s">
        <v>178</v>
      </c>
      <c r="D5" s="17" t="n">
        <v>85000</v>
      </c>
      <c r="E5" s="17" t="n">
        <v>92000</v>
      </c>
      <c r="F5" s="17" t="n">
        <v>78000</v>
      </c>
      <c r="H5" s="42" t="s">
        <v>179</v>
      </c>
      <c r="I5" s="43" t="s">
        <v>180</v>
      </c>
    </row>
    <row r="6" customFormat="false" ht="30" hidden="false" customHeight="true" outlineLevel="0" collapsed="false">
      <c r="B6" s="20" t="s">
        <v>181</v>
      </c>
      <c r="C6" s="20" t="s">
        <v>182</v>
      </c>
      <c r="D6" s="21" t="n">
        <v>65000</v>
      </c>
      <c r="E6" s="21" t="n">
        <v>71000</v>
      </c>
      <c r="F6" s="21" t="n">
        <v>68000</v>
      </c>
      <c r="H6" s="42" t="s">
        <v>183</v>
      </c>
      <c r="I6" s="44" t="s">
        <v>184</v>
      </c>
    </row>
    <row r="7" customFormat="false" ht="30" hidden="false" customHeight="true" outlineLevel="0" collapsed="false">
      <c r="B7" s="16" t="s">
        <v>185</v>
      </c>
      <c r="C7" s="16" t="s">
        <v>186</v>
      </c>
      <c r="D7" s="17" t="n">
        <v>72000</v>
      </c>
      <c r="E7" s="17" t="n">
        <v>68000</v>
      </c>
      <c r="F7" s="17" t="n">
        <v>75000</v>
      </c>
      <c r="H7" s="42" t="s">
        <v>187</v>
      </c>
      <c r="I7" s="43" t="s">
        <v>188</v>
      </c>
    </row>
    <row r="8" customFormat="false" ht="30" hidden="false" customHeight="true" outlineLevel="0" collapsed="false">
      <c r="B8" s="20" t="s">
        <v>189</v>
      </c>
      <c r="C8" s="20" t="s">
        <v>178</v>
      </c>
      <c r="D8" s="21" t="n">
        <v>91000</v>
      </c>
      <c r="E8" s="21" t="n">
        <v>88000</v>
      </c>
      <c r="F8" s="21" t="n">
        <v>95000</v>
      </c>
      <c r="H8" s="42" t="s">
        <v>190</v>
      </c>
      <c r="I8" s="44" t="s">
        <v>191</v>
      </c>
    </row>
    <row r="9" customFormat="false" ht="30" hidden="false" customHeight="true" outlineLevel="0" collapsed="false">
      <c r="B9" s="16" t="s">
        <v>192</v>
      </c>
      <c r="C9" s="16" t="s">
        <v>182</v>
      </c>
      <c r="D9" s="17" t="n">
        <v>55000</v>
      </c>
      <c r="E9" s="17" t="n">
        <v>62000</v>
      </c>
      <c r="F9" s="17" t="n">
        <v>58000</v>
      </c>
      <c r="H9" s="42" t="s">
        <v>193</v>
      </c>
      <c r="I9" s="43" t="s">
        <v>194</v>
      </c>
    </row>
    <row r="10" customFormat="false" ht="30" hidden="false" customHeight="true" outlineLevel="0" collapsed="false">
      <c r="B10" s="20" t="s">
        <v>195</v>
      </c>
      <c r="C10" s="20" t="s">
        <v>196</v>
      </c>
      <c r="D10" s="21" t="n">
        <v>48000</v>
      </c>
      <c r="E10" s="21" t="n">
        <v>52000</v>
      </c>
      <c r="F10" s="21" t="n">
        <v>50000</v>
      </c>
      <c r="H10" s="42" t="s">
        <v>197</v>
      </c>
      <c r="I10" s="44" t="s">
        <v>198</v>
      </c>
    </row>
    <row r="11" customFormat="false" ht="30" hidden="false" customHeight="true" outlineLevel="0" collapsed="false">
      <c r="B11" s="16" t="s">
        <v>199</v>
      </c>
      <c r="C11" s="16" t="s">
        <v>178</v>
      </c>
      <c r="D11" s="17" t="n">
        <v>110000</v>
      </c>
      <c r="E11" s="17" t="n">
        <v>105000</v>
      </c>
      <c r="F11" s="17" t="n">
        <v>115000</v>
      </c>
      <c r="H11" s="42" t="s">
        <v>200</v>
      </c>
      <c r="I11" s="43" t="s">
        <v>201</v>
      </c>
    </row>
    <row r="12" customFormat="false" ht="30" hidden="false" customHeight="true" outlineLevel="0" collapsed="false">
      <c r="B12" s="20" t="s">
        <v>202</v>
      </c>
      <c r="C12" s="20" t="s">
        <v>186</v>
      </c>
      <c r="D12" s="21" t="n">
        <v>63000</v>
      </c>
      <c r="E12" s="21" t="n">
        <v>67000</v>
      </c>
      <c r="F12" s="21" t="n">
        <v>70000</v>
      </c>
      <c r="H12" s="42" t="s">
        <v>203</v>
      </c>
      <c r="I12" s="44" t="s">
        <v>204</v>
      </c>
    </row>
    <row r="13" customFormat="false" ht="30" hidden="false" customHeight="true" outlineLevel="0" collapsed="false">
      <c r="H13" s="42" t="s">
        <v>205</v>
      </c>
      <c r="I13" s="43" t="s">
        <v>206</v>
      </c>
    </row>
    <row r="14" customFormat="false" ht="30" hidden="false" customHeight="true" outlineLevel="0" collapsed="false">
      <c r="H14" s="42" t="s">
        <v>207</v>
      </c>
      <c r="I14" s="44" t="s">
        <v>208</v>
      </c>
    </row>
    <row r="15" customFormat="false" ht="30" hidden="false" customHeight="true" outlineLevel="0" collapsed="false">
      <c r="H15" s="42" t="s">
        <v>209</v>
      </c>
      <c r="I15" s="43" t="s">
        <v>210</v>
      </c>
    </row>
    <row r="16" customFormat="false" ht="30" hidden="false" customHeight="true" outlineLevel="0" collapsed="false">
      <c r="H16" s="42" t="s">
        <v>211</v>
      </c>
      <c r="I16" s="44" t="s">
        <v>212</v>
      </c>
    </row>
  </sheetData>
  <mergeCells count="3">
    <mergeCell ref="B1:F1"/>
    <mergeCell ref="B3:F3"/>
    <mergeCell ref="H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7" min="7" style="0" width="2"/>
    <col collapsed="false" customWidth="true" hidden="false" outlineLevel="0" max="8" min="8" style="0" width="26"/>
    <col collapsed="false" customWidth="true" hidden="false" outlineLevel="0" max="9" min="9" style="0" width="38"/>
    <col collapsed="false" customWidth="true" hidden="false" outlineLevel="0" max="10" min="10" style="0" width="2"/>
  </cols>
  <sheetData>
    <row r="1" customFormat="false" ht="31.5" hidden="false" customHeight="true" outlineLevel="0" collapsed="false">
      <c r="B1" s="13" t="s">
        <v>213</v>
      </c>
      <c r="C1" s="13"/>
      <c r="D1" s="13"/>
      <c r="E1" s="13"/>
    </row>
    <row r="3" customFormat="false" ht="21.75" hidden="false" customHeight="true" outlineLevel="0" collapsed="false">
      <c r="B3" s="3" t="s">
        <v>214</v>
      </c>
      <c r="C3" s="3"/>
      <c r="D3" s="3"/>
      <c r="E3" s="3"/>
      <c r="H3" s="3" t="s">
        <v>215</v>
      </c>
      <c r="I3" s="3"/>
    </row>
    <row r="4" customFormat="false" ht="30" hidden="false" customHeight="true" outlineLevel="0" collapsed="false">
      <c r="B4" s="3" t="s">
        <v>216</v>
      </c>
      <c r="C4" s="3" t="s">
        <v>217</v>
      </c>
      <c r="D4" s="3" t="s">
        <v>218</v>
      </c>
      <c r="E4" s="3" t="s">
        <v>219</v>
      </c>
      <c r="H4" s="45" t="s">
        <v>220</v>
      </c>
      <c r="I4" s="46" t="s">
        <v>221</v>
      </c>
    </row>
    <row r="5" customFormat="false" ht="30" hidden="false" customHeight="true" outlineLevel="0" collapsed="false">
      <c r="B5" s="16" t="s">
        <v>222</v>
      </c>
      <c r="C5" s="47" t="n">
        <v>45672</v>
      </c>
      <c r="D5" s="47" t="n">
        <v>45777</v>
      </c>
      <c r="E5" s="48" t="n">
        <v>0.75</v>
      </c>
      <c r="H5" s="45" t="s">
        <v>223</v>
      </c>
      <c r="I5" s="49" t="s">
        <v>224</v>
      </c>
    </row>
    <row r="6" customFormat="false" ht="30" hidden="false" customHeight="true" outlineLevel="0" collapsed="false">
      <c r="B6" s="20" t="s">
        <v>225</v>
      </c>
      <c r="C6" s="50" t="n">
        <v>45689</v>
      </c>
      <c r="D6" s="50" t="n">
        <v>45823</v>
      </c>
      <c r="E6" s="51" t="n">
        <v>0.4</v>
      </c>
      <c r="H6" s="45" t="s">
        <v>226</v>
      </c>
      <c r="I6" s="46" t="s">
        <v>227</v>
      </c>
    </row>
    <row r="7" customFormat="false" ht="30" hidden="false" customHeight="true" outlineLevel="0" collapsed="false">
      <c r="B7" s="16" t="s">
        <v>228</v>
      </c>
      <c r="C7" s="47" t="n">
        <v>45726</v>
      </c>
      <c r="D7" s="47" t="n">
        <v>45900</v>
      </c>
      <c r="E7" s="48" t="n">
        <v>0.2</v>
      </c>
      <c r="H7" s="45" t="s">
        <v>229</v>
      </c>
      <c r="I7" s="49" t="s">
        <v>230</v>
      </c>
    </row>
    <row r="8" customFormat="false" ht="30" hidden="false" customHeight="true" outlineLevel="0" collapsed="false">
      <c r="B8" s="20" t="s">
        <v>231</v>
      </c>
      <c r="C8" s="50" t="n">
        <v>45597</v>
      </c>
      <c r="D8" s="50" t="n">
        <v>45808</v>
      </c>
      <c r="E8" s="51" t="n">
        <v>0.9</v>
      </c>
      <c r="H8" s="45" t="s">
        <v>232</v>
      </c>
      <c r="I8" s="46" t="s">
        <v>233</v>
      </c>
    </row>
    <row r="9" customFormat="false" ht="30" hidden="false" customHeight="true" outlineLevel="0" collapsed="false">
      <c r="B9" s="16" t="s">
        <v>234</v>
      </c>
      <c r="C9" s="47" t="n">
        <v>45677</v>
      </c>
      <c r="D9" s="47" t="n">
        <v>45747</v>
      </c>
      <c r="E9" s="48" t="n">
        <v>1</v>
      </c>
      <c r="H9" s="45" t="s">
        <v>235</v>
      </c>
      <c r="I9" s="49" t="s">
        <v>236</v>
      </c>
    </row>
    <row r="10" customFormat="false" ht="30" hidden="false" customHeight="true" outlineLevel="0" collapsed="false">
      <c r="H10" s="45" t="s">
        <v>237</v>
      </c>
      <c r="I10" s="46" t="s">
        <v>238</v>
      </c>
    </row>
    <row r="11" customFormat="false" ht="30" hidden="false" customHeight="true" outlineLevel="0" collapsed="false">
      <c r="H11" s="45" t="s">
        <v>239</v>
      </c>
      <c r="I11" s="49" t="s">
        <v>240</v>
      </c>
    </row>
    <row r="12" customFormat="false" ht="30" hidden="false" customHeight="true" outlineLevel="0" collapsed="false">
      <c r="H12" s="45" t="s">
        <v>241</v>
      </c>
      <c r="I12" s="46" t="s">
        <v>242</v>
      </c>
    </row>
    <row r="13" customFormat="false" ht="30" hidden="false" customHeight="true" outlineLevel="0" collapsed="false">
      <c r="H13" s="45" t="s">
        <v>243</v>
      </c>
      <c r="I13" s="49" t="s">
        <v>244</v>
      </c>
    </row>
    <row r="14" customFormat="false" ht="30" hidden="false" customHeight="true" outlineLevel="0" collapsed="false">
      <c r="H14" s="45" t="s">
        <v>245</v>
      </c>
      <c r="I14" s="46" t="s">
        <v>246</v>
      </c>
    </row>
    <row r="15" customFormat="false" ht="30" hidden="false" customHeight="true" outlineLevel="0" collapsed="false">
      <c r="H15" s="45" t="s">
        <v>247</v>
      </c>
      <c r="I15" s="49" t="s">
        <v>248</v>
      </c>
    </row>
  </sheetData>
  <mergeCells count="3">
    <mergeCell ref="B1:E1"/>
    <mergeCell ref="B3:E3"/>
    <mergeCell ref="H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7" min="7" style="0" width="2"/>
    <col collapsed="false" customWidth="true" hidden="false" outlineLevel="0" max="8" min="8" style="0" width="26"/>
    <col collapsed="false" customWidth="true" hidden="false" outlineLevel="0" max="9" min="9" style="0" width="38"/>
    <col collapsed="false" customWidth="true" hidden="false" outlineLevel="0" max="10" min="10" style="0" width="2"/>
  </cols>
  <sheetData>
    <row r="1" customFormat="false" ht="31.5" hidden="false" customHeight="true" outlineLevel="0" collapsed="false">
      <c r="B1" s="13" t="s">
        <v>249</v>
      </c>
      <c r="C1" s="13"/>
      <c r="D1" s="13"/>
      <c r="E1" s="13"/>
    </row>
    <row r="3" customFormat="false" ht="21.75" hidden="false" customHeight="true" outlineLevel="0" collapsed="false">
      <c r="B3" s="3" t="s">
        <v>250</v>
      </c>
      <c r="C3" s="3"/>
      <c r="D3" s="3"/>
      <c r="E3" s="3"/>
      <c r="H3" s="3" t="s">
        <v>251</v>
      </c>
      <c r="I3" s="3"/>
    </row>
    <row r="4" customFormat="false" ht="30" hidden="false" customHeight="true" outlineLevel="0" collapsed="false">
      <c r="B4" s="3" t="s">
        <v>144</v>
      </c>
      <c r="C4" s="3" t="s">
        <v>252</v>
      </c>
      <c r="D4" s="3" t="s">
        <v>253</v>
      </c>
      <c r="E4" s="3" t="s">
        <v>254</v>
      </c>
      <c r="H4" s="52" t="s">
        <v>255</v>
      </c>
      <c r="I4" s="53" t="s">
        <v>256</v>
      </c>
    </row>
    <row r="5" customFormat="false" ht="30" hidden="false" customHeight="true" outlineLevel="0" collapsed="false">
      <c r="B5" s="16" t="s">
        <v>257</v>
      </c>
      <c r="C5" s="16" t="s">
        <v>258</v>
      </c>
      <c r="D5" s="16" t="s">
        <v>84</v>
      </c>
      <c r="E5" s="17" t="n">
        <v>45000</v>
      </c>
      <c r="H5" s="52" t="s">
        <v>259</v>
      </c>
      <c r="I5" s="54" t="s">
        <v>260</v>
      </c>
    </row>
    <row r="6" customFormat="false" ht="30" hidden="false" customHeight="true" outlineLevel="0" collapsed="false">
      <c r="B6" s="20" t="s">
        <v>261</v>
      </c>
      <c r="C6" s="20" t="s">
        <v>262</v>
      </c>
      <c r="D6" s="20" t="s">
        <v>263</v>
      </c>
      <c r="E6" s="21" t="n">
        <v>72000</v>
      </c>
      <c r="H6" s="52" t="s">
        <v>264</v>
      </c>
      <c r="I6" s="53" t="s">
        <v>265</v>
      </c>
    </row>
    <row r="7" customFormat="false" ht="30" hidden="false" customHeight="true" outlineLevel="0" collapsed="false">
      <c r="B7" s="16" t="s">
        <v>266</v>
      </c>
      <c r="C7" s="16" t="s">
        <v>258</v>
      </c>
      <c r="D7" s="16" t="s">
        <v>267</v>
      </c>
      <c r="E7" s="17" t="n">
        <v>31000</v>
      </c>
      <c r="H7" s="52" t="s">
        <v>268</v>
      </c>
      <c r="I7" s="54" t="s">
        <v>269</v>
      </c>
    </row>
    <row r="8" customFormat="false" ht="30" hidden="false" customHeight="true" outlineLevel="0" collapsed="false">
      <c r="B8" s="20" t="s">
        <v>270</v>
      </c>
      <c r="C8" s="20" t="s">
        <v>271</v>
      </c>
      <c r="D8" s="20" t="s">
        <v>84</v>
      </c>
      <c r="E8" s="21" t="n">
        <v>58000</v>
      </c>
      <c r="H8" s="52" t="s">
        <v>272</v>
      </c>
      <c r="I8" s="53" t="s">
        <v>273</v>
      </c>
    </row>
    <row r="9" customFormat="false" ht="30" hidden="false" customHeight="true" outlineLevel="0" collapsed="false">
      <c r="B9" s="16" t="s">
        <v>274</v>
      </c>
      <c r="C9" s="16" t="s">
        <v>275</v>
      </c>
      <c r="D9" s="16" t="s">
        <v>263</v>
      </c>
      <c r="E9" s="17" t="n">
        <v>63000</v>
      </c>
      <c r="H9" s="52" t="s">
        <v>276</v>
      </c>
      <c r="I9" s="54" t="s">
        <v>277</v>
      </c>
    </row>
    <row r="10" customFormat="false" ht="30" hidden="false" customHeight="true" outlineLevel="0" collapsed="false">
      <c r="B10" s="20" t="s">
        <v>278</v>
      </c>
      <c r="C10" s="20" t="s">
        <v>262</v>
      </c>
      <c r="D10" s="20" t="s">
        <v>267</v>
      </c>
      <c r="E10" s="21" t="n">
        <v>29000</v>
      </c>
      <c r="H10" s="52" t="s">
        <v>279</v>
      </c>
      <c r="I10" s="53" t="s">
        <v>280</v>
      </c>
    </row>
    <row r="11" customFormat="false" ht="30" hidden="false" customHeight="true" outlineLevel="0" collapsed="false">
      <c r="B11" s="16" t="s">
        <v>281</v>
      </c>
      <c r="C11" s="16" t="s">
        <v>258</v>
      </c>
      <c r="D11" s="16" t="s">
        <v>84</v>
      </c>
      <c r="E11" s="17" t="n">
        <v>51000</v>
      </c>
      <c r="H11" s="52" t="s">
        <v>282</v>
      </c>
      <c r="I11" s="54" t="s">
        <v>283</v>
      </c>
    </row>
    <row r="12" customFormat="false" ht="30" hidden="false" customHeight="true" outlineLevel="0" collapsed="false">
      <c r="B12" s="20" t="s">
        <v>284</v>
      </c>
      <c r="C12" s="20" t="s">
        <v>271</v>
      </c>
      <c r="D12" s="20" t="s">
        <v>263</v>
      </c>
      <c r="E12" s="21" t="n">
        <v>44000</v>
      </c>
      <c r="H12" s="52" t="s">
        <v>285</v>
      </c>
      <c r="I12" s="53" t="s">
        <v>286</v>
      </c>
    </row>
    <row r="13" customFormat="false" ht="30" hidden="false" customHeight="true" outlineLevel="0" collapsed="false">
      <c r="B13" s="16" t="s">
        <v>287</v>
      </c>
      <c r="C13" s="16" t="s">
        <v>275</v>
      </c>
      <c r="D13" s="16" t="s">
        <v>267</v>
      </c>
      <c r="E13" s="17" t="n">
        <v>37000</v>
      </c>
      <c r="H13" s="52" t="s">
        <v>288</v>
      </c>
      <c r="I13" s="54" t="s">
        <v>289</v>
      </c>
    </row>
    <row r="14" customFormat="false" ht="18" hidden="false" customHeight="true" outlineLevel="0" collapsed="false">
      <c r="B14" s="20" t="s">
        <v>290</v>
      </c>
      <c r="C14" s="20" t="s">
        <v>262</v>
      </c>
      <c r="D14" s="20" t="s">
        <v>84</v>
      </c>
      <c r="E14" s="21" t="n">
        <v>66000</v>
      </c>
    </row>
    <row r="16" customFormat="false" ht="24" hidden="false" customHeight="true" outlineLevel="0" collapsed="false">
      <c r="B16" s="12" t="s">
        <v>291</v>
      </c>
      <c r="C16" s="12"/>
      <c r="D16" s="12"/>
      <c r="E16" s="12"/>
    </row>
    <row r="17" customFormat="false" ht="24" hidden="false" customHeight="true" outlineLevel="0" collapsed="false">
      <c r="B17" s="12"/>
      <c r="C17" s="12"/>
      <c r="D17" s="12"/>
      <c r="E17" s="12"/>
    </row>
  </sheetData>
  <mergeCells count="4">
    <mergeCell ref="B1:E1"/>
    <mergeCell ref="B3:E3"/>
    <mergeCell ref="H3:I3"/>
    <mergeCell ref="B16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20"/>
    <col collapsed="false" customWidth="true" hidden="false" outlineLevel="0" max="6" min="4" style="0" width="14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18"/>
    <col collapsed="false" customWidth="true" hidden="false" outlineLevel="0" max="11" min="11" style="0" width="2"/>
  </cols>
  <sheetData>
    <row r="1" customFormat="false" ht="36" hidden="false" customHeight="true" outlineLevel="0" collapsed="false">
      <c r="B1" s="55" t="s">
        <v>292</v>
      </c>
      <c r="C1" s="55"/>
      <c r="D1" s="55"/>
      <c r="E1" s="55"/>
      <c r="F1" s="55"/>
      <c r="G1" s="55"/>
      <c r="H1" s="55"/>
      <c r="I1" s="55"/>
      <c r="J1" s="55"/>
    </row>
    <row r="2" customFormat="false" ht="31.5" hidden="false" customHeight="true" outlineLevel="0" collapsed="false">
      <c r="B2" s="12" t="s">
        <v>293</v>
      </c>
      <c r="C2" s="12"/>
      <c r="D2" s="12"/>
      <c r="E2" s="12"/>
      <c r="F2" s="12"/>
      <c r="G2" s="12"/>
      <c r="H2" s="12"/>
      <c r="I2" s="12"/>
      <c r="J2" s="12"/>
    </row>
    <row r="3" customFormat="false" ht="19.5" hidden="false" customHeight="true" outlineLevel="0" collapsed="false">
      <c r="B3" s="56" t="s">
        <v>294</v>
      </c>
      <c r="C3" s="56"/>
      <c r="D3" s="56"/>
      <c r="E3" s="56"/>
      <c r="F3" s="56"/>
      <c r="G3" s="56"/>
      <c r="H3" s="56"/>
      <c r="I3" s="56"/>
      <c r="J3" s="56"/>
    </row>
    <row r="4" customFormat="false" ht="21.75" hidden="false" customHeight="true" outlineLevel="0" collapsed="false">
      <c r="B4" s="57" t="s">
        <v>2</v>
      </c>
      <c r="C4" s="57" t="s">
        <v>295</v>
      </c>
      <c r="D4" s="57" t="s">
        <v>80</v>
      </c>
      <c r="E4" s="57" t="s">
        <v>145</v>
      </c>
      <c r="F4" s="57" t="s">
        <v>146</v>
      </c>
      <c r="G4" s="57" t="s">
        <v>296</v>
      </c>
      <c r="H4" s="57" t="s">
        <v>147</v>
      </c>
      <c r="I4" s="57" t="s">
        <v>297</v>
      </c>
      <c r="J4" s="57" t="s">
        <v>298</v>
      </c>
    </row>
    <row r="5" customFormat="false" ht="19.5" hidden="false" customHeight="true" outlineLevel="0" collapsed="false">
      <c r="B5" s="4" t="n">
        <v>1</v>
      </c>
      <c r="C5" s="16" t="s">
        <v>299</v>
      </c>
      <c r="D5" s="16" t="s">
        <v>300</v>
      </c>
      <c r="E5" s="17" t="n">
        <v>200000</v>
      </c>
      <c r="F5" s="17" t="n">
        <v>235000</v>
      </c>
      <c r="G5" s="58" t="n">
        <f aca="false">F5/E5</f>
        <v>1.175</v>
      </c>
      <c r="H5" s="33" t="n">
        <f aca="false">IF(G5&gt;=1.2,0.2,IF(G5&gt;=1.1,0.15,IF(G5&gt;=1,0.1,IF(G5&gt;=0.9,0.05,0))))</f>
        <v>0.15</v>
      </c>
      <c r="I5" s="59" t="n">
        <f aca="false">F5*H5</f>
        <v>35250</v>
      </c>
      <c r="J5" s="34" t="str">
        <f aca="false">IF(G5&gt;=1.2,"Mukemmel",IF(G5&gt;=1.1,"Cok Iyi",IF(G5&gt;=1,"Iyi",IF(G5&gt;=0.9,"Gelismeli","Yetersiz"))))</f>
        <v>Cok Iyi</v>
      </c>
    </row>
    <row r="6" customFormat="false" ht="19.5" hidden="false" customHeight="true" outlineLevel="0" collapsed="false">
      <c r="B6" s="8" t="n">
        <v>2</v>
      </c>
      <c r="C6" s="20" t="s">
        <v>301</v>
      </c>
      <c r="D6" s="20" t="s">
        <v>300</v>
      </c>
      <c r="E6" s="21" t="n">
        <v>180000</v>
      </c>
      <c r="F6" s="21" t="n">
        <v>162000</v>
      </c>
      <c r="G6" s="60" t="n">
        <f aca="false">F6/E6</f>
        <v>0.9</v>
      </c>
      <c r="H6" s="37" t="n">
        <f aca="false">IF(G6&gt;=1.2,0.2,IF(G6&gt;=1.1,0.15,IF(G6&gt;=1,0.1,IF(G6&gt;=0.9,0.05,0))))</f>
        <v>0.05</v>
      </c>
      <c r="I6" s="61" t="n">
        <f aca="false">F6*H6</f>
        <v>8100</v>
      </c>
      <c r="J6" s="38" t="str">
        <f aca="false">IF(G6&gt;=1.2,"Mukemmel",IF(G6&gt;=1.1,"Cok Iyi",IF(G6&gt;=1,"Iyi",IF(G6&gt;=0.9,"Gelismeli","Yetersiz"))))</f>
        <v>Gelismeli</v>
      </c>
    </row>
    <row r="7" customFormat="false" ht="19.5" hidden="false" customHeight="true" outlineLevel="0" collapsed="false">
      <c r="B7" s="4" t="n">
        <v>3</v>
      </c>
      <c r="C7" s="16" t="s">
        <v>302</v>
      </c>
      <c r="D7" s="16" t="s">
        <v>88</v>
      </c>
      <c r="E7" s="17" t="n">
        <v>150000</v>
      </c>
      <c r="F7" s="17" t="n">
        <v>150000</v>
      </c>
      <c r="G7" s="58" t="n">
        <f aca="false">F7/E7</f>
        <v>1</v>
      </c>
      <c r="H7" s="33" t="n">
        <f aca="false">IF(G7&gt;=1.2,0.2,IF(G7&gt;=1.1,0.15,IF(G7&gt;=1,0.1,IF(G7&gt;=0.9,0.05,0))))</f>
        <v>0.1</v>
      </c>
      <c r="I7" s="59" t="n">
        <f aca="false">F7*H7</f>
        <v>15000</v>
      </c>
      <c r="J7" s="34" t="str">
        <f aca="false">IF(G7&gt;=1.2,"Mukemmel",IF(G7&gt;=1.1,"Cok Iyi",IF(G7&gt;=1,"Iyi",IF(G7&gt;=0.9,"Gelismeli","Yetersiz"))))</f>
        <v>Iyi</v>
      </c>
    </row>
    <row r="8" customFormat="false" ht="19.5" hidden="false" customHeight="true" outlineLevel="0" collapsed="false">
      <c r="B8" s="8" t="n">
        <v>4</v>
      </c>
      <c r="C8" s="20" t="s">
        <v>303</v>
      </c>
      <c r="D8" s="20" t="s">
        <v>304</v>
      </c>
      <c r="E8" s="21" t="n">
        <v>80000</v>
      </c>
      <c r="F8" s="21" t="n">
        <v>92000</v>
      </c>
      <c r="G8" s="60" t="n">
        <f aca="false">F8/E8</f>
        <v>1.15</v>
      </c>
      <c r="H8" s="37" t="n">
        <f aca="false">IF(G8&gt;=1.2,0.2,IF(G8&gt;=1.1,0.15,IF(G8&gt;=1,0.1,IF(G8&gt;=0.9,0.05,0))))</f>
        <v>0.15</v>
      </c>
      <c r="I8" s="61" t="n">
        <f aca="false">F8*H8</f>
        <v>13800</v>
      </c>
      <c r="J8" s="38" t="str">
        <f aca="false">IF(G8&gt;=1.2,"Mukemmel",IF(G8&gt;=1.1,"Cok Iyi",IF(G8&gt;=1,"Iyi",IF(G8&gt;=0.9,"Gelismeli","Yetersiz"))))</f>
        <v>Cok Iyi</v>
      </c>
    </row>
    <row r="9" customFormat="false" ht="19.5" hidden="false" customHeight="true" outlineLevel="0" collapsed="false">
      <c r="B9" s="4" t="n">
        <v>5</v>
      </c>
      <c r="C9" s="16" t="s">
        <v>305</v>
      </c>
      <c r="D9" s="16" t="s">
        <v>300</v>
      </c>
      <c r="E9" s="17" t="n">
        <v>220000</v>
      </c>
      <c r="F9" s="17" t="n">
        <v>198000</v>
      </c>
      <c r="G9" s="58" t="n">
        <f aca="false">F9/E9</f>
        <v>0.9</v>
      </c>
      <c r="H9" s="33" t="n">
        <f aca="false">IF(G9&gt;=1.2,0.2,IF(G9&gt;=1.1,0.15,IF(G9&gt;=1,0.1,IF(G9&gt;=0.9,0.05,0))))</f>
        <v>0.05</v>
      </c>
      <c r="I9" s="59" t="n">
        <f aca="false">F9*H9</f>
        <v>9900</v>
      </c>
      <c r="J9" s="34" t="str">
        <f aca="false">IF(G9&gt;=1.2,"Mukemmel",IF(G9&gt;=1.1,"Cok Iyi",IF(G9&gt;=1,"Iyi",IF(G9&gt;=0.9,"Gelismeli","Yetersiz"))))</f>
        <v>Gelismeli</v>
      </c>
    </row>
    <row r="10" customFormat="false" ht="19.5" hidden="false" customHeight="true" outlineLevel="0" collapsed="false">
      <c r="B10" s="8" t="n">
        <v>6</v>
      </c>
      <c r="C10" s="20" t="s">
        <v>306</v>
      </c>
      <c r="D10" s="20" t="s">
        <v>92</v>
      </c>
      <c r="E10" s="21" t="n">
        <v>60000</v>
      </c>
      <c r="F10" s="21" t="n">
        <v>65000</v>
      </c>
      <c r="G10" s="60" t="n">
        <f aca="false">F10/E10</f>
        <v>1.08333333333333</v>
      </c>
      <c r="H10" s="37" t="n">
        <f aca="false">IF(G10&gt;=1.2,0.2,IF(G10&gt;=1.1,0.15,IF(G10&gt;=1,0.1,IF(G10&gt;=0.9,0.05,0))))</f>
        <v>0.1</v>
      </c>
      <c r="I10" s="61" t="n">
        <f aca="false">F10*H10</f>
        <v>6500</v>
      </c>
      <c r="J10" s="38" t="str">
        <f aca="false">IF(G10&gt;=1.2,"Mukemmel",IF(G10&gt;=1.1,"Cok Iyi",IF(G10&gt;=1,"Iyi",IF(G10&gt;=0.9,"Gelismeli","Yetersiz"))))</f>
        <v>Iyi</v>
      </c>
    </row>
    <row r="11" customFormat="false" ht="19.5" hidden="false" customHeight="true" outlineLevel="0" collapsed="false">
      <c r="B11" s="4" t="n">
        <v>7</v>
      </c>
      <c r="C11" s="16" t="s">
        <v>307</v>
      </c>
      <c r="D11" s="16" t="s">
        <v>88</v>
      </c>
      <c r="E11" s="17" t="n">
        <v>140000</v>
      </c>
      <c r="F11" s="17" t="n">
        <v>175000</v>
      </c>
      <c r="G11" s="58" t="n">
        <f aca="false">F11/E11</f>
        <v>1.25</v>
      </c>
      <c r="H11" s="33" t="n">
        <f aca="false">IF(G11&gt;=1.2,0.2,IF(G11&gt;=1.1,0.15,IF(G11&gt;=1,0.1,IF(G11&gt;=0.9,0.05,0))))</f>
        <v>0.2</v>
      </c>
      <c r="I11" s="59" t="n">
        <f aca="false">F11*H11</f>
        <v>35000</v>
      </c>
      <c r="J11" s="34" t="str">
        <f aca="false">IF(G11&gt;=1.2,"Mukemmel",IF(G11&gt;=1.1,"Cok Iyi",IF(G11&gt;=1,"Iyi",IF(G11&gt;=0.9,"Gelismeli","Yetersiz"))))</f>
        <v>Mukemmel</v>
      </c>
    </row>
    <row r="12" customFormat="false" ht="19.5" hidden="false" customHeight="true" outlineLevel="0" collapsed="false">
      <c r="B12" s="8" t="n">
        <v>8</v>
      </c>
      <c r="C12" s="20" t="s">
        <v>308</v>
      </c>
      <c r="D12" s="20" t="s">
        <v>304</v>
      </c>
      <c r="E12" s="21" t="n">
        <v>90000</v>
      </c>
      <c r="F12" s="21" t="n">
        <v>88000</v>
      </c>
      <c r="G12" s="60" t="n">
        <f aca="false">F12/E12</f>
        <v>0.977777777777778</v>
      </c>
      <c r="H12" s="37" t="n">
        <f aca="false">IF(G12&gt;=1.2,0.2,IF(G12&gt;=1.1,0.15,IF(G12&gt;=1,0.1,IF(G12&gt;=0.9,0.05,0))))</f>
        <v>0.05</v>
      </c>
      <c r="I12" s="61" t="n">
        <f aca="false">F12*H12</f>
        <v>4400</v>
      </c>
      <c r="J12" s="38" t="str">
        <f aca="false">IF(G12&gt;=1.2,"Mukemmel",IF(G12&gt;=1.1,"Cok Iyi",IF(G12&gt;=1,"Iyi",IF(G12&gt;=0.9,"Gelismeli","Yetersiz"))))</f>
        <v>Gelismeli</v>
      </c>
    </row>
    <row r="13" customFormat="false" ht="19.5" hidden="false" customHeight="true" outlineLevel="0" collapsed="false">
      <c r="B13" s="4" t="n">
        <v>9</v>
      </c>
      <c r="C13" s="16" t="s">
        <v>309</v>
      </c>
      <c r="D13" s="16" t="s">
        <v>300</v>
      </c>
      <c r="E13" s="17" t="n">
        <v>210000</v>
      </c>
      <c r="F13" s="17" t="n">
        <v>252000</v>
      </c>
      <c r="G13" s="58" t="n">
        <f aca="false">F13/E13</f>
        <v>1.2</v>
      </c>
      <c r="H13" s="33" t="n">
        <f aca="false">IF(G13&gt;=1.2,0.2,IF(G13&gt;=1.1,0.15,IF(G13&gt;=1,0.1,IF(G13&gt;=0.9,0.05,0))))</f>
        <v>0.2</v>
      </c>
      <c r="I13" s="59" t="n">
        <f aca="false">F13*H13</f>
        <v>50400</v>
      </c>
      <c r="J13" s="34" t="str">
        <f aca="false">IF(G13&gt;=1.2,"Mukemmel",IF(G13&gt;=1.1,"Cok Iyi",IF(G13&gt;=1,"Iyi",IF(G13&gt;=0.9,"Gelismeli","Yetersiz"))))</f>
        <v>Mukemmel</v>
      </c>
    </row>
    <row r="14" customFormat="false" ht="19.5" hidden="false" customHeight="true" outlineLevel="0" collapsed="false">
      <c r="B14" s="8" t="n">
        <v>10</v>
      </c>
      <c r="C14" s="20" t="s">
        <v>310</v>
      </c>
      <c r="D14" s="20" t="s">
        <v>92</v>
      </c>
      <c r="E14" s="21" t="n">
        <v>70000</v>
      </c>
      <c r="F14" s="21" t="n">
        <v>71000</v>
      </c>
      <c r="G14" s="60" t="n">
        <f aca="false">F14/E14</f>
        <v>1.01428571428571</v>
      </c>
      <c r="H14" s="37" t="n">
        <f aca="false">IF(G14&gt;=1.2,0.2,IF(G14&gt;=1.1,0.15,IF(G14&gt;=1,0.1,IF(G14&gt;=0.9,0.05,0))))</f>
        <v>0.1</v>
      </c>
      <c r="I14" s="61" t="n">
        <f aca="false">F14*H14</f>
        <v>7100</v>
      </c>
      <c r="J14" s="38" t="str">
        <f aca="false">IF(G14&gt;=1.2,"Mukemmel",IF(G14&gt;=1.1,"Cok Iyi",IF(G14&gt;=1,"Iyi",IF(G14&gt;=0.9,"Gelismeli","Yetersiz"))))</f>
        <v>Iyi</v>
      </c>
    </row>
    <row r="15" customFormat="false" ht="21.75" hidden="false" customHeight="true" outlineLevel="0" collapsed="false">
      <c r="B15" s="57" t="s">
        <v>311</v>
      </c>
      <c r="C15" s="57"/>
      <c r="D15" s="57"/>
      <c r="E15" s="62"/>
      <c r="F15" s="62"/>
      <c r="G15" s="62"/>
    </row>
    <row r="16" customFormat="false" ht="19.5" hidden="false" customHeight="true" outlineLevel="0" collapsed="false">
      <c r="B16" s="5" t="s">
        <v>312</v>
      </c>
      <c r="C16" s="5"/>
      <c r="D16" s="5"/>
      <c r="E16" s="59" t="n">
        <f aca="false">SUM(E5:E14)</f>
        <v>1400000</v>
      </c>
      <c r="F16" s="59"/>
      <c r="G16" s="59"/>
    </row>
    <row r="17" customFormat="false" ht="19.5" hidden="false" customHeight="true" outlineLevel="0" collapsed="false">
      <c r="B17" s="9" t="s">
        <v>313</v>
      </c>
      <c r="C17" s="9"/>
      <c r="D17" s="9"/>
      <c r="E17" s="61" t="n">
        <f aca="false">SUM(F5:F14)</f>
        <v>1488000</v>
      </c>
      <c r="F17" s="61"/>
      <c r="G17" s="61"/>
    </row>
    <row r="18" customFormat="false" ht="19.5" hidden="false" customHeight="true" outlineLevel="0" collapsed="false">
      <c r="B18" s="5" t="s">
        <v>314</v>
      </c>
      <c r="C18" s="5"/>
      <c r="D18" s="5"/>
      <c r="E18" s="59" t="n">
        <f aca="false">SUM(I5:I14)</f>
        <v>185450</v>
      </c>
      <c r="F18" s="59"/>
      <c r="G18" s="59"/>
    </row>
    <row r="19" customFormat="false" ht="19.5" hidden="false" customHeight="true" outlineLevel="0" collapsed="false">
      <c r="B19" s="9" t="s">
        <v>315</v>
      </c>
      <c r="C19" s="9"/>
      <c r="D19" s="9"/>
      <c r="E19" s="63" t="n">
        <f aca="false">AVERAGE(G5:G14)</f>
        <v>1.06503968253968</v>
      </c>
      <c r="F19" s="63"/>
      <c r="G19" s="63"/>
    </row>
    <row r="20" customFormat="false" ht="19.5" hidden="false" customHeight="true" outlineLevel="0" collapsed="false">
      <c r="B20" s="5" t="s">
        <v>316</v>
      </c>
      <c r="C20" s="5"/>
      <c r="D20" s="5"/>
      <c r="E20" s="64" t="n">
        <f aca="false">COUNTIF(G5:G14,"&gt;=1")</f>
        <v>7</v>
      </c>
      <c r="F20" s="64"/>
      <c r="G20" s="64"/>
    </row>
    <row r="21" customFormat="false" ht="19.5" hidden="false" customHeight="true" outlineLevel="0" collapsed="false">
      <c r="B21" s="9" t="s">
        <v>317</v>
      </c>
      <c r="C21" s="9"/>
      <c r="D21" s="9"/>
      <c r="E21" s="65" t="str">
        <f aca="false">INDEX(C5:C14,MATCH(MAX(I5:I14),I5:I14,0))</f>
        <v>İpek Kara</v>
      </c>
      <c r="F21" s="65"/>
      <c r="G21" s="65"/>
    </row>
    <row r="22" customFormat="false" ht="19.5" hidden="false" customHeight="true" outlineLevel="0" collapsed="false">
      <c r="B22" s="5" t="s">
        <v>318</v>
      </c>
      <c r="C22" s="5"/>
      <c r="D22" s="5"/>
      <c r="E22" s="66" t="str">
        <f aca="true">TEXT(TODAY(),"DD MMMM YYYY")</f>
        <v>06 April 2026</v>
      </c>
      <c r="F22" s="66"/>
      <c r="G22" s="66"/>
    </row>
    <row r="24" customFormat="false" ht="27.75" hidden="false" customHeight="true" outlineLevel="0" collapsed="false">
      <c r="B24" s="12" t="s">
        <v>319</v>
      </c>
      <c r="C24" s="12"/>
      <c r="D24" s="12"/>
      <c r="E24" s="12"/>
      <c r="F24" s="12"/>
      <c r="G24" s="12"/>
      <c r="H24" s="12"/>
      <c r="I24" s="12"/>
      <c r="J24" s="12"/>
    </row>
    <row r="25" customFormat="false" ht="27.75" hidden="false" customHeight="true" outlineLevel="0" collapsed="false">
      <c r="B25" s="12"/>
      <c r="C25" s="12"/>
      <c r="D25" s="12"/>
      <c r="E25" s="12"/>
      <c r="F25" s="12"/>
      <c r="G25" s="12"/>
      <c r="H25" s="12"/>
      <c r="I25" s="12"/>
      <c r="J25" s="12"/>
    </row>
  </sheetData>
  <mergeCells count="19">
    <mergeCell ref="B1:J1"/>
    <mergeCell ref="B2:J2"/>
    <mergeCell ref="B3:J3"/>
    <mergeCell ref="B15:D15"/>
    <mergeCell ref="B16:D16"/>
    <mergeCell ref="E16:G16"/>
    <mergeCell ref="B17:D17"/>
    <mergeCell ref="E17:G17"/>
    <mergeCell ref="B18:D18"/>
    <mergeCell ref="E18:G18"/>
    <mergeCell ref="B19:D19"/>
    <mergeCell ref="E19:G19"/>
    <mergeCell ref="B20:D20"/>
    <mergeCell ref="E20:G20"/>
    <mergeCell ref="B21:D21"/>
    <mergeCell ref="E21:G21"/>
    <mergeCell ref="B22:D22"/>
    <mergeCell ref="E22:G22"/>
    <mergeCell ref="B24:J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2026-04-06T10:51:23Z</dcterms:created>
  <dc:creator>openpyxl</dc:creator>
  <dc:description/>
  <dc:language>en-US</dc:language>
  <cp:lastModifiedBy/>
  <dcterms:modified xsi:type="dcterms:W3CDTF">2026-04-06T10:51:23Z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